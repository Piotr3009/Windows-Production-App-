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684"/>
  </bookViews>
  <sheets>
    <sheet name="W-1" sheetId="10" r:id="rId1"/>
    <sheet name="W-2" sheetId="13" r:id="rId2"/>
    <sheet name="W-3" sheetId="14" r:id="rId3"/>
    <sheet name="W-4" sheetId="15" r:id="rId4"/>
    <sheet name="W-5" sheetId="16" r:id="rId5"/>
    <sheet name="W-6" sheetId="17" r:id="rId6"/>
    <sheet name="W-7" sheetId="18" r:id="rId7"/>
    <sheet name="W-8" sheetId="19" r:id="rId8"/>
    <sheet name="W-9" sheetId="20" r:id="rId9"/>
    <sheet name="W-10" sheetId="21" r:id="rId10"/>
    <sheet name="Timber Summary " sheetId="11" r:id="rId11"/>
    <sheet name="Glazing summary " sheetId="12" r:id="rId12"/>
    <sheet name="Cutting list " sheetId="22" r:id="rId13"/>
  </sheets>
  <definedNames>
    <definedName name="_xlnm.Print_Area" localSheetId="11">'Glazing summary 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<sst xmlns="http://schemas.openxmlformats.org/spreadsheetml/2006/main" count="1346" uniqueCount="154">
  <si>
    <t>GL01- CH/B</t>
  </si>
  <si>
    <t>BOX SASH WINDOW</t>
  </si>
  <si>
    <t>Timber Section</t>
  </si>
  <si>
    <t>Finished Length</t>
  </si>
  <si>
    <t>Number</t>
  </si>
  <si>
    <t>TRENCH DEPTH</t>
  </si>
  <si>
    <t xml:space="preserve">Sapele </t>
  </si>
  <si>
    <t>HEAD</t>
  </si>
  <si>
    <t>28 x 141</t>
  </si>
  <si>
    <t>11mm</t>
  </si>
  <si>
    <t>1.5 inch x 150</t>
  </si>
  <si>
    <t>JAMBS</t>
  </si>
  <si>
    <t>N/A</t>
  </si>
  <si>
    <t>1 inch x 120</t>
  </si>
  <si>
    <t>CILL</t>
  </si>
  <si>
    <t>69 X 46/46.7 X 127</t>
  </si>
  <si>
    <t>37mm</t>
  </si>
  <si>
    <t>75x50</t>
  </si>
  <si>
    <t>EXTERNAL HEAD LINER</t>
  </si>
  <si>
    <t>17 X 102</t>
  </si>
  <si>
    <t>125x60</t>
  </si>
  <si>
    <t>WITH HORNS TO TOP SASH ONLY</t>
  </si>
  <si>
    <t>INTERNAL HEAD LINER</t>
  </si>
  <si>
    <t>17 X 85</t>
  </si>
  <si>
    <t>EXTERNAL JAMB LINER</t>
  </si>
  <si>
    <t>INTERNAL JAMB LINER</t>
  </si>
  <si>
    <t>17 X 86</t>
  </si>
  <si>
    <t>Timber section</t>
  </si>
  <si>
    <t>TENON LENGTH</t>
  </si>
  <si>
    <t>SLOT LENGTH</t>
  </si>
  <si>
    <t xml:space="preserve">RED GRANDIS </t>
  </si>
  <si>
    <t>TOP RAIL</t>
  </si>
  <si>
    <t>57 X 57mm</t>
  </si>
  <si>
    <t>39mm &amp; 57mm</t>
  </si>
  <si>
    <t>63X63</t>
  </si>
  <si>
    <t>STILES TOP SASH</t>
  </si>
  <si>
    <t xml:space="preserve">TOP 39mm  BOTTOM MORTICE </t>
  </si>
  <si>
    <t>63X95</t>
  </si>
  <si>
    <t>NON BAR</t>
  </si>
  <si>
    <t>STILES BOTTOM SASH</t>
  </si>
  <si>
    <t xml:space="preserve">TOP 25mm  BOTTOM 72mm </t>
  </si>
  <si>
    <t>FRAME WIDTH</t>
  </si>
  <si>
    <t>FRAME HEIGHT</t>
  </si>
  <si>
    <t>BOTTOM RAIL</t>
  </si>
  <si>
    <t>57 X 90mm</t>
  </si>
  <si>
    <t>TOP MEET RAIL</t>
  </si>
  <si>
    <t>57 X 43mm</t>
  </si>
  <si>
    <t>BOTTOM MEET RAIL</t>
  </si>
  <si>
    <t>SASH WIDTH</t>
  </si>
  <si>
    <t>SASH HEIGHT</t>
  </si>
  <si>
    <t>SASH HEIGHT WITH HORN</t>
  </si>
  <si>
    <t>TOP SASH</t>
  </si>
  <si>
    <t>1no SASH</t>
  </si>
  <si>
    <t>TRICKLE VENT</t>
  </si>
  <si>
    <t xml:space="preserve">YES </t>
  </si>
  <si>
    <t>NO</t>
  </si>
  <si>
    <t>CONCEALED</t>
  </si>
  <si>
    <t>BOTTOM SASH</t>
  </si>
  <si>
    <t>SASH CATCHES</t>
  </si>
  <si>
    <t>PAS24</t>
  </si>
  <si>
    <t>NON PAS24</t>
  </si>
  <si>
    <t>GLASS WIDTH</t>
  </si>
  <si>
    <t>GLASS HEIGHT</t>
  </si>
  <si>
    <t>GLASS</t>
  </si>
  <si>
    <t xml:space="preserve">24mm </t>
  </si>
  <si>
    <t>TGH/ARG/TGH</t>
  </si>
  <si>
    <t>Obscure</t>
  </si>
  <si>
    <t>Others?</t>
  </si>
  <si>
    <t>1no UNIT</t>
  </si>
  <si>
    <t>24.8mm</t>
  </si>
  <si>
    <t>LAM/ARG/TGH</t>
  </si>
  <si>
    <t>HARDWARE FINISH</t>
  </si>
  <si>
    <t>BRASS</t>
  </si>
  <si>
    <t>POL CHROME</t>
  </si>
  <si>
    <t xml:space="preserve">SATIN </t>
  </si>
  <si>
    <t>CILL EXTENSION</t>
  </si>
  <si>
    <t>35mm</t>
  </si>
  <si>
    <t>60mm</t>
  </si>
  <si>
    <t>85mm</t>
  </si>
  <si>
    <t>110mm</t>
  </si>
  <si>
    <t>PAINT</t>
  </si>
  <si>
    <t>RAL</t>
  </si>
  <si>
    <t>?</t>
  </si>
  <si>
    <t>TOTAL</t>
  </si>
  <si>
    <t>PRICE</t>
  </si>
  <si>
    <t>VAT 20%</t>
  </si>
  <si>
    <t>GL02-JAM</t>
  </si>
  <si>
    <t>GL03-JAM</t>
  </si>
  <si>
    <t>GL04-JAM</t>
  </si>
  <si>
    <t>GL05-JAM</t>
  </si>
  <si>
    <t>GL06-JAM-B</t>
  </si>
  <si>
    <t>FIX</t>
  </si>
  <si>
    <t xml:space="preserve">MID BAR </t>
  </si>
  <si>
    <t>GL07-JAM-B</t>
  </si>
  <si>
    <t xml:space="preserve">4 X SASH 32 WPA </t>
  </si>
  <si>
    <t>GL08-JAM -B</t>
  </si>
  <si>
    <t xml:space="preserve">Jurek Kilvarock </t>
  </si>
  <si>
    <t>GL01-Kilv</t>
  </si>
  <si>
    <t>GL02-KILV</t>
  </si>
  <si>
    <t>lm</t>
  </si>
  <si>
    <t xml:space="preserve">RED GRANDIS engineering </t>
  </si>
  <si>
    <t>5.9 lm</t>
  </si>
  <si>
    <t xml:space="preserve">pcs </t>
  </si>
  <si>
    <t>Width</t>
  </si>
  <si>
    <t>GL01-JAM</t>
  </si>
  <si>
    <t xml:space="preserve">High mm </t>
  </si>
  <si>
    <t xml:space="preserve">Taoughten </t>
  </si>
  <si>
    <t>High</t>
  </si>
  <si>
    <t xml:space="preserve">Frosted </t>
  </si>
  <si>
    <t>No</t>
  </si>
  <si>
    <t xml:space="preserve">Thickness </t>
  </si>
  <si>
    <t>24mm</t>
  </si>
  <si>
    <t>4x16x4</t>
  </si>
  <si>
    <t>Pcs</t>
  </si>
  <si>
    <t>Spacer colour</t>
  </si>
  <si>
    <t>White</t>
  </si>
  <si>
    <t>GL06-JAM</t>
  </si>
  <si>
    <t>GL07-JAM</t>
  </si>
  <si>
    <t>GL08-JAM</t>
  </si>
  <si>
    <t>GL01-Jurek</t>
  </si>
  <si>
    <t>GL02-Jurek</t>
  </si>
  <si>
    <t>GL08-JAM-B</t>
  </si>
  <si>
    <t>28x141</t>
  </si>
  <si>
    <t xml:space="preserve">Head </t>
  </si>
  <si>
    <t>11 mm</t>
  </si>
  <si>
    <t>JAMBS L</t>
  </si>
  <si>
    <t>JAMBS R</t>
  </si>
  <si>
    <t>69x46</t>
  </si>
  <si>
    <t>CILL 1</t>
  </si>
  <si>
    <t>37 mm</t>
  </si>
  <si>
    <t xml:space="preserve">CILL 2 </t>
  </si>
  <si>
    <t>17 x 102</t>
  </si>
  <si>
    <t xml:space="preserve">INTERNAL HEAD LINEAR </t>
  </si>
  <si>
    <t>17 x 85</t>
  </si>
  <si>
    <t>EXT HEAD LINEAR</t>
  </si>
  <si>
    <t>17 x 101</t>
  </si>
  <si>
    <t>EXTERNAL JAMB (L)</t>
  </si>
  <si>
    <t>EXTERNAL JAMB (R)</t>
  </si>
  <si>
    <t>17 x 86</t>
  </si>
  <si>
    <t xml:space="preserve">INERNAL JAMB (L) </t>
  </si>
  <si>
    <t xml:space="preserve">INTERNAL JAMB (R) </t>
  </si>
  <si>
    <t xml:space="preserve">Sash </t>
  </si>
  <si>
    <t xml:space="preserve">TENON LENGTH </t>
  </si>
  <si>
    <t>57 X 57</t>
  </si>
  <si>
    <t xml:space="preserve">TOP RAIL </t>
  </si>
  <si>
    <t>39 &amp; 57 mm</t>
  </si>
  <si>
    <t>STILES TOP SASH (L)</t>
  </si>
  <si>
    <t>STILES TOP SASH (R)</t>
  </si>
  <si>
    <t xml:space="preserve">STILES BOTTOM SASH (L) </t>
  </si>
  <si>
    <t xml:space="preserve">STILES BOTTOM SASH (R) </t>
  </si>
  <si>
    <t>57 X 90</t>
  </si>
  <si>
    <t xml:space="preserve">BOTTOM RAIL </t>
  </si>
  <si>
    <t>57 X 43</t>
  </si>
  <si>
    <t xml:space="preserve">BOTTOM MEET RAIL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</si>
</sst>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 "/>
    <numFmt numFmtId="177" formatCode="0.0_ "/>
  </numFmts>
  <fonts count="2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17" applyNumberFormat="0" applyAlignment="0" applyProtection="0">
      <alignment vertical="center"/>
    </xf>
    <xf numFmtId="0" fontId="19" fillId="22" borderId="18" applyNumberFormat="0" applyAlignment="0" applyProtection="0">
      <alignment vertical="center"/>
    </xf>
    <xf numFmtId="0" fontId="20" fillId="22" borderId="17" applyNumberFormat="0" applyAlignment="0" applyProtection="0">
      <alignment vertical="center"/>
    </xf>
    <xf numFmtId="0" fontId="21" fillId="23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8" fillId="4" borderId="1" xfId="0" applyFont="1" applyFill="1" applyBorder="1" applyAlignment="1"/>
    <xf numFmtId="0" fontId="8" fillId="5" borderId="1" xfId="0" applyFont="1" applyFill="1" applyBorder="1" applyAlignment="1"/>
    <xf numFmtId="0" fontId="5" fillId="0" borderId="1" xfId="0" applyFont="1" applyFill="1" applyBorder="1" applyAlignment="1"/>
    <xf numFmtId="0" fontId="8" fillId="0" borderId="0" xfId="0" applyFont="1" applyFill="1" applyAlignment="1"/>
    <xf numFmtId="0" fontId="8" fillId="5" borderId="4" xfId="0" applyFont="1" applyFill="1" applyBorder="1" applyAlignment="1"/>
    <xf numFmtId="0" fontId="8" fillId="5" borderId="4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wrapText="1"/>
    </xf>
    <xf numFmtId="0" fontId="8" fillId="7" borderId="1" xfId="0" applyFont="1" applyFill="1" applyBorder="1" applyAlignment="1"/>
    <xf numFmtId="0" fontId="8" fillId="8" borderId="1" xfId="0" applyFont="1" applyFill="1" applyBorder="1" applyAlignment="1"/>
    <xf numFmtId="0" fontId="8" fillId="8" borderId="1" xfId="0" applyFont="1" applyFill="1" applyBorder="1" applyAlignment="1">
      <alignment vertical="center"/>
    </xf>
    <xf numFmtId="0" fontId="5" fillId="9" borderId="2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8" fillId="8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8" fillId="1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right"/>
    </xf>
    <xf numFmtId="0" fontId="5" fillId="11" borderId="1" xfId="0" applyFont="1" applyFill="1" applyBorder="1" applyAlignment="1"/>
    <xf numFmtId="0" fontId="8" fillId="9" borderId="1" xfId="0" applyFont="1" applyFill="1" applyBorder="1" applyAlignment="1"/>
    <xf numFmtId="0" fontId="0" fillId="0" borderId="0" xfId="0" applyFill="1" applyAlignment="1"/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13" borderId="7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9" fillId="0" borderId="0" xfId="0" applyFont="1" applyFill="1" applyAlignment="1"/>
    <xf numFmtId="0" fontId="0" fillId="15" borderId="7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639570"/>
          <a:ext cx="1418590" cy="24809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89850</xdr:colOff>
      <xdr:row>8</xdr:row>
      <xdr:rowOff>20599</xdr:rowOff>
    </xdr:from>
    <xdr:to>
      <xdr:col>3</xdr:col>
      <xdr:colOff>289240</xdr:colOff>
      <xdr:row>17</xdr:row>
      <xdr:rowOff>263169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" y="1563370"/>
          <a:ext cx="1418590" cy="2480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topLeftCell="A7" workbookViewId="0">
      <selection activeCell="D6" sqref="D6"/>
    </sheetView>
  </sheetViews>
  <sheetFormatPr defaultColWidth="9.14285714285714" defaultRowHeight="15"/>
  <cols>
    <col min="15" max="15" width="13.1428571428571" customWidth="1"/>
    <col min="16" max="16" width="13.8571428571429" customWidth="1"/>
    <col min="18" max="18" width="15.2857142857143" customWidth="1"/>
  </cols>
  <sheetData>
    <row r="1" spans="1:11">
      <c r="A1" s="35"/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0</v>
      </c>
      <c r="B4" s="11"/>
      <c r="C4" s="11"/>
      <c r="D4" s="11"/>
      <c r="E4" s="42"/>
      <c r="F4" s="41"/>
      <c r="G4" s="11"/>
      <c r="H4" s="42"/>
      <c r="I4" s="41"/>
      <c r="J4" s="42"/>
      <c r="K4" s="98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99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920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2588</v>
      </c>
      <c r="Q9">
        <f t="shared" ref="Q9:Q16" si="0">(P9*1.15)/1000</f>
        <v>2.9762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834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5226</v>
      </c>
      <c r="Q10">
        <f t="shared" si="0"/>
        <v>6.0099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920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920</v>
      </c>
      <c r="Q11">
        <f t="shared" si="0"/>
        <v>1.058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716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920</v>
      </c>
      <c r="Q12">
        <f t="shared" si="0"/>
        <v>1.058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750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940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940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742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4062</v>
      </c>
      <c r="Q17">
        <f>(P17*1.15)/1000</f>
        <v>4.6713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477.5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742</v>
      </c>
      <c r="Q18">
        <f>(P18*1.1)/1000</f>
        <v>0.8162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440.5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742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920</v>
      </c>
      <c r="C21" s="63">
        <v>940</v>
      </c>
      <c r="D21" s="64"/>
      <c r="E21" s="45"/>
      <c r="F21" s="45"/>
      <c r="G21" s="57" t="s">
        <v>45</v>
      </c>
      <c r="H21" s="50" t="s">
        <v>46</v>
      </c>
      <c r="I21" s="62">
        <f>B24</f>
        <v>742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742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742</v>
      </c>
      <c r="C24" s="62">
        <f>C21/2+(-62.5)</f>
        <v>407.5</v>
      </c>
      <c r="D24" s="62">
        <f>C24+70</f>
        <v>477.5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742</v>
      </c>
      <c r="C25" s="62">
        <f>C21/2+(-29.5)</f>
        <v>440.5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652</v>
      </c>
      <c r="C27" s="62">
        <f>C24-100+24</f>
        <v>331.5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652</v>
      </c>
      <c r="C28" s="62">
        <f>C25-133+24</f>
        <v>331.5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Q9" sqref="Q9:Q18"/>
    </sheetView>
  </sheetViews>
  <sheetFormatPr defaultColWidth="9.14285714285714" defaultRowHeight="15"/>
  <cols>
    <col min="16" max="16" width="16.8571428571429" customWidth="1"/>
  </cols>
  <sheetData>
    <row r="1" spans="1:11">
      <c r="A1" s="35"/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86</v>
      </c>
      <c r="B4" s="11"/>
      <c r="C4" s="11"/>
      <c r="D4" s="11"/>
      <c r="E4" s="42"/>
      <c r="F4" s="41"/>
      <c r="G4" s="11"/>
      <c r="H4" s="42"/>
      <c r="I4" s="41"/>
      <c r="J4" s="42"/>
      <c r="K4" s="96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97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1070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4308</v>
      </c>
      <c r="Q9">
        <f t="shared" ref="Q9:Q12" si="0">(P9*1.15)/1000</f>
        <v>4.9542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1619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8666</v>
      </c>
      <c r="Q10">
        <f t="shared" si="0"/>
        <v>9.9659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1070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1070</v>
      </c>
      <c r="Q11">
        <f t="shared" si="0"/>
        <v>1.2305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866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1070</v>
      </c>
      <c r="Q12">
        <f t="shared" si="0"/>
        <v>1.2305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900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1725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1725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892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6082</v>
      </c>
      <c r="Q17">
        <f>(P17*1.15)/1000</f>
        <v>6.9943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870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892</v>
      </c>
      <c r="Q18">
        <f>(P18*1.1)/1000</f>
        <v>0.9812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833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892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1070</v>
      </c>
      <c r="C21" s="63">
        <v>1725</v>
      </c>
      <c r="D21" s="64"/>
      <c r="E21" s="45"/>
      <c r="F21" s="45"/>
      <c r="G21" s="57" t="s">
        <v>45</v>
      </c>
      <c r="H21" s="50" t="s">
        <v>46</v>
      </c>
      <c r="I21" s="62">
        <f>B24</f>
        <v>892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892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892</v>
      </c>
      <c r="C24" s="62">
        <f>C21/2+(-62.5)</f>
        <v>800</v>
      </c>
      <c r="D24" s="62">
        <f>C24+70</f>
        <v>870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892</v>
      </c>
      <c r="C25" s="62">
        <f>C21/2+(-29.5)</f>
        <v>833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802</v>
      </c>
      <c r="C27" s="62">
        <f>C24-100+24</f>
        <v>724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802</v>
      </c>
      <c r="C28" s="62">
        <f>C25-133+24</f>
        <v>724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opLeftCell="A4" workbookViewId="0">
      <selection activeCell="Q13" sqref="Q13"/>
    </sheetView>
  </sheetViews>
  <sheetFormatPr defaultColWidth="9.14285714285714" defaultRowHeight="15"/>
  <sheetData>
    <row r="1" spans="1:11">
      <c r="A1" s="35"/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87</v>
      </c>
      <c r="B4" s="11"/>
      <c r="C4" s="11"/>
      <c r="D4" s="11"/>
      <c r="E4" s="42"/>
      <c r="F4" s="41"/>
      <c r="G4" s="11"/>
      <c r="H4" s="42"/>
      <c r="I4" s="41"/>
      <c r="J4" s="42"/>
      <c r="K4" s="94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95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1050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4228</v>
      </c>
      <c r="Q9">
        <f t="shared" ref="Q9:Q12" si="0">(P9*1.15)/1000</f>
        <v>4.8622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1589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8506</v>
      </c>
      <c r="Q10">
        <f t="shared" si="0"/>
        <v>9.7819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1050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1050</v>
      </c>
      <c r="Q11">
        <f t="shared" si="0"/>
        <v>1.2075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846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1050</v>
      </c>
      <c r="Q12">
        <f t="shared" si="0"/>
        <v>1.2075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880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1695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1695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872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5962</v>
      </c>
      <c r="Q17">
        <f>(P17*1.15)/1000</f>
        <v>6.8563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855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872</v>
      </c>
      <c r="Q18">
        <f>(P18*1.1)/1000</f>
        <v>0.9592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818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872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1050</v>
      </c>
      <c r="C21" s="63">
        <v>1695</v>
      </c>
      <c r="D21" s="64"/>
      <c r="E21" s="45"/>
      <c r="F21" s="45"/>
      <c r="G21" s="57" t="s">
        <v>45</v>
      </c>
      <c r="H21" s="50" t="s">
        <v>46</v>
      </c>
      <c r="I21" s="62">
        <f>B24</f>
        <v>872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872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872</v>
      </c>
      <c r="C24" s="62">
        <f>C21/2+(-62.5)</f>
        <v>785</v>
      </c>
      <c r="D24" s="62">
        <f>C24+70</f>
        <v>855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872</v>
      </c>
      <c r="C25" s="62">
        <f>C21/2+(-29.5)</f>
        <v>818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782</v>
      </c>
      <c r="C27" s="62">
        <f>C24-100+24</f>
        <v>709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782</v>
      </c>
      <c r="C28" s="62">
        <f>C25-133+24</f>
        <v>709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Q8" sqref="Q8:Q18"/>
    </sheetView>
  </sheetViews>
  <sheetFormatPr defaultColWidth="9.14285714285714" defaultRowHeight="15"/>
  <sheetData>
    <row r="1" spans="1:11">
      <c r="A1" s="35"/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88</v>
      </c>
      <c r="B4" s="11"/>
      <c r="C4" s="11"/>
      <c r="D4" s="11"/>
      <c r="E4" s="42"/>
      <c r="F4" s="41"/>
      <c r="G4" s="11"/>
      <c r="H4" s="42"/>
      <c r="I4" s="41"/>
      <c r="J4" s="42"/>
      <c r="K4" s="92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93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1240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4758</v>
      </c>
      <c r="Q9">
        <f t="shared" ref="Q9:Q12" si="0">(P9*1.15)/1000</f>
        <v>5.4717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1759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9566</v>
      </c>
      <c r="Q10">
        <f t="shared" si="0"/>
        <v>11.0009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1240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1240</v>
      </c>
      <c r="Q11">
        <f t="shared" si="0"/>
        <v>1.426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1036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1240</v>
      </c>
      <c r="Q12">
        <f t="shared" si="0"/>
        <v>1.426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1070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1865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1865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1062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6872</v>
      </c>
      <c r="Q17">
        <f>(P17*1.15)/1000</f>
        <v>7.9028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940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1062</v>
      </c>
      <c r="Q18">
        <f>(P18*1.1)/1000</f>
        <v>1.1682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903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1062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1240</v>
      </c>
      <c r="C21" s="63">
        <v>1865</v>
      </c>
      <c r="D21" s="64"/>
      <c r="E21" s="45"/>
      <c r="F21" s="45"/>
      <c r="G21" s="57" t="s">
        <v>45</v>
      </c>
      <c r="H21" s="50" t="s">
        <v>46</v>
      </c>
      <c r="I21" s="62">
        <f>B24</f>
        <v>1062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1062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1062</v>
      </c>
      <c r="C24" s="62">
        <f>C21/2+(-62.5)</f>
        <v>870</v>
      </c>
      <c r="D24" s="62">
        <f>C24+70</f>
        <v>940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1062</v>
      </c>
      <c r="C25" s="62">
        <f>C21/2+(-29.5)</f>
        <v>903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972</v>
      </c>
      <c r="C27" s="62">
        <f>C24-100+24</f>
        <v>794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972</v>
      </c>
      <c r="C28" s="62">
        <f>C25-133+24</f>
        <v>794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O8" sqref="O8:Q18"/>
    </sheetView>
  </sheetViews>
  <sheetFormatPr defaultColWidth="9.14285714285714" defaultRowHeight="15"/>
  <sheetData>
    <row r="1" spans="1:11">
      <c r="A1" s="35"/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89</v>
      </c>
      <c r="B4" s="11"/>
      <c r="C4" s="11"/>
      <c r="D4" s="11"/>
      <c r="E4" s="42"/>
      <c r="F4" s="41"/>
      <c r="G4" s="11"/>
      <c r="H4" s="42"/>
      <c r="I4" s="41"/>
      <c r="J4" s="42"/>
      <c r="K4" s="90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91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560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2798</v>
      </c>
      <c r="Q9">
        <f t="shared" ref="Q9:Q12" si="0">(P9*1.15)/1000</f>
        <v>3.2177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1119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5646</v>
      </c>
      <c r="Q10">
        <f t="shared" si="0"/>
        <v>6.4929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560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560</v>
      </c>
      <c r="Q11">
        <f t="shared" si="0"/>
        <v>0.644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356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560</v>
      </c>
      <c r="Q12">
        <f t="shared" si="0"/>
        <v>0.644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390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1225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1225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382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3552</v>
      </c>
      <c r="Q17">
        <f>(P17*1.15)/1000</f>
        <v>4.0848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620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382</v>
      </c>
      <c r="Q18">
        <f>(P18*1.1)/1000</f>
        <v>0.4202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583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382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560</v>
      </c>
      <c r="C21" s="63">
        <v>1225</v>
      </c>
      <c r="D21" s="64"/>
      <c r="E21" s="45"/>
      <c r="F21" s="45"/>
      <c r="G21" s="57" t="s">
        <v>45</v>
      </c>
      <c r="H21" s="50" t="s">
        <v>46</v>
      </c>
      <c r="I21" s="62">
        <f>B24</f>
        <v>382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382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382</v>
      </c>
      <c r="C24" s="62">
        <f>C21/2+(-62.5)</f>
        <v>550</v>
      </c>
      <c r="D24" s="62">
        <f>C24+70</f>
        <v>620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382</v>
      </c>
      <c r="C25" s="62">
        <f>C21/2+(-29.5)</f>
        <v>583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292</v>
      </c>
      <c r="C27" s="62">
        <f>C24-100+24</f>
        <v>474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292</v>
      </c>
      <c r="C28" s="62">
        <f>C25-133+24</f>
        <v>474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O23" sqref="O23"/>
    </sheetView>
  </sheetViews>
  <sheetFormatPr defaultColWidth="9.14285714285714" defaultRowHeight="15"/>
  <sheetData>
    <row r="1" spans="1:11">
      <c r="A1" s="35"/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90</v>
      </c>
      <c r="B4" s="11"/>
      <c r="C4" s="11"/>
      <c r="D4" s="11"/>
      <c r="E4" s="42"/>
      <c r="F4" s="41"/>
      <c r="G4" s="11"/>
      <c r="H4" s="42"/>
      <c r="I4" s="41"/>
      <c r="J4" s="42"/>
      <c r="K4" s="88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89"/>
    </row>
    <row r="8" ht="21" spans="1:15">
      <c r="A8" s="45"/>
      <c r="B8" s="46" t="s">
        <v>1</v>
      </c>
      <c r="C8" s="47"/>
      <c r="D8" s="45"/>
      <c r="E8" s="87" t="s">
        <v>91</v>
      </c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980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4418</v>
      </c>
      <c r="Q9">
        <f t="shared" ref="Q9:Q12" si="0">(P9*1.15)/1000</f>
        <v>5.0807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1719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8886</v>
      </c>
      <c r="Q10">
        <f t="shared" si="0"/>
        <v>10.2189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980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980</v>
      </c>
      <c r="Q11">
        <f t="shared" si="0"/>
        <v>1.127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776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980</v>
      </c>
      <c r="Q12">
        <f t="shared" si="0"/>
        <v>1.127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810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1825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1825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802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6012</v>
      </c>
      <c r="Q17">
        <f>(P17*1.15)/1000</f>
        <v>6.9138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920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802</v>
      </c>
      <c r="Q18">
        <f>(P18*1.1)/1000</f>
        <v>0.8822</v>
      </c>
    </row>
    <row r="19" ht="33.75" spans="1:14">
      <c r="A19" s="45"/>
      <c r="B19" s="59" t="s">
        <v>92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883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802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980</v>
      </c>
      <c r="C21" s="63">
        <v>1825</v>
      </c>
      <c r="D21" s="64"/>
      <c r="E21" s="45"/>
      <c r="F21" s="45"/>
      <c r="G21" s="57" t="s">
        <v>45</v>
      </c>
      <c r="H21" s="50" t="s">
        <v>46</v>
      </c>
      <c r="I21" s="62">
        <f>B24</f>
        <v>802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802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802</v>
      </c>
      <c r="C24" s="62">
        <f>C21/2+(-62.5)</f>
        <v>850</v>
      </c>
      <c r="D24" s="62">
        <f>C24+70</f>
        <v>920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802</v>
      </c>
      <c r="C25" s="62">
        <f>C21/2+(-29.5)</f>
        <v>883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712</v>
      </c>
      <c r="C27" s="62">
        <f>C24-100+24</f>
        <v>774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712</v>
      </c>
      <c r="C28" s="62">
        <f>C25-133+24</f>
        <v>774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Q9" sqref="Q9:Q18"/>
    </sheetView>
  </sheetViews>
  <sheetFormatPr defaultColWidth="9.14285714285714" defaultRowHeight="15"/>
  <sheetData>
    <row r="1" spans="1:11">
      <c r="A1" s="35"/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93</v>
      </c>
      <c r="B4" s="11"/>
      <c r="C4" s="11"/>
      <c r="D4" s="11"/>
      <c r="E4" s="42"/>
      <c r="F4" s="41"/>
      <c r="G4" s="11"/>
      <c r="H4" s="42"/>
      <c r="I4" s="41"/>
      <c r="J4" s="42"/>
      <c r="K4" s="85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86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580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4018</v>
      </c>
      <c r="Q9">
        <f t="shared" ref="Q9:Q12" si="0">(P9*1.15)/1000</f>
        <v>4.6207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1719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8086</v>
      </c>
      <c r="Q10">
        <f t="shared" si="0"/>
        <v>9.2989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580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580</v>
      </c>
      <c r="Q11">
        <f t="shared" si="0"/>
        <v>0.667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376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580</v>
      </c>
      <c r="Q12">
        <f t="shared" si="0"/>
        <v>0.667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410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1825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1825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402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4812</v>
      </c>
      <c r="Q17">
        <f>(P17*1.15)/1000</f>
        <v>5.5338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920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402</v>
      </c>
      <c r="Q18">
        <f>(P18*1.1)/1000</f>
        <v>0.4422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883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402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580</v>
      </c>
      <c r="C21" s="63">
        <v>1825</v>
      </c>
      <c r="D21" s="64"/>
      <c r="E21" s="45"/>
      <c r="F21" s="45"/>
      <c r="G21" s="57" t="s">
        <v>45</v>
      </c>
      <c r="H21" s="50" t="s">
        <v>46</v>
      </c>
      <c r="I21" s="62">
        <f>B24</f>
        <v>402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402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402</v>
      </c>
      <c r="C24" s="62">
        <f>C21/2+(-62.5)</f>
        <v>850</v>
      </c>
      <c r="D24" s="62">
        <f>C24+70</f>
        <v>920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402</v>
      </c>
      <c r="C25" s="62">
        <f>C21/2+(-29.5)</f>
        <v>883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312</v>
      </c>
      <c r="C27" s="62">
        <f>C24-100+24</f>
        <v>774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312</v>
      </c>
      <c r="C28" s="62">
        <f>C25-133+24</f>
        <v>774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O8" sqref="O8:Q18"/>
    </sheetView>
  </sheetViews>
  <sheetFormatPr defaultColWidth="9.14285714285714" defaultRowHeight="15"/>
  <sheetData>
    <row r="1" spans="1:11">
      <c r="A1" s="35" t="s">
        <v>94</v>
      </c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95</v>
      </c>
      <c r="B4" s="11"/>
      <c r="C4" s="11"/>
      <c r="D4" s="11"/>
      <c r="E4" s="42"/>
      <c r="F4" s="41"/>
      <c r="G4" s="11"/>
      <c r="H4" s="42"/>
      <c r="I4" s="41"/>
      <c r="J4" s="42"/>
      <c r="K4" s="18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23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580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4018</v>
      </c>
      <c r="Q9">
        <f t="shared" ref="Q9:Q12" si="0">(P9*1.15)/1000</f>
        <v>4.6207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1719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8086</v>
      </c>
      <c r="Q10">
        <f t="shared" si="0"/>
        <v>9.2989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580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580</v>
      </c>
      <c r="Q11">
        <f t="shared" si="0"/>
        <v>0.667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376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580</v>
      </c>
      <c r="Q12">
        <f t="shared" si="0"/>
        <v>0.667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410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1825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1825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402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4812</v>
      </c>
      <c r="Q17">
        <f>(P17*1.15)/1000</f>
        <v>5.5338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920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402</v>
      </c>
      <c r="Q18">
        <f>(P18*1.1)/1000</f>
        <v>0.4422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883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402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580</v>
      </c>
      <c r="C21" s="63">
        <v>1825</v>
      </c>
      <c r="D21" s="64"/>
      <c r="E21" s="45"/>
      <c r="F21" s="45"/>
      <c r="G21" s="57" t="s">
        <v>45</v>
      </c>
      <c r="H21" s="50" t="s">
        <v>46</v>
      </c>
      <c r="I21" s="62">
        <f>B24</f>
        <v>402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402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402</v>
      </c>
      <c r="C24" s="62">
        <f>C21/2+(-62.5)</f>
        <v>850</v>
      </c>
      <c r="D24" s="62">
        <f>C24+70</f>
        <v>920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402</v>
      </c>
      <c r="C25" s="62">
        <f>C21/2+(-29.5)</f>
        <v>883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312</v>
      </c>
      <c r="C27" s="62">
        <f>C24-100+24</f>
        <v>774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312</v>
      </c>
      <c r="C28" s="62">
        <f>C25-133+24</f>
        <v>774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A6" sqref="A6"/>
    </sheetView>
  </sheetViews>
  <sheetFormatPr defaultColWidth="9.14285714285714" defaultRowHeight="15"/>
  <sheetData>
    <row r="1" spans="1:11">
      <c r="A1" s="35" t="s">
        <v>96</v>
      </c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97</v>
      </c>
      <c r="B4" s="11"/>
      <c r="C4" s="11"/>
      <c r="D4" s="11"/>
      <c r="E4" s="42"/>
      <c r="F4" s="41"/>
      <c r="G4" s="11"/>
      <c r="H4" s="42"/>
      <c r="I4" s="41"/>
      <c r="J4" s="42"/>
      <c r="K4" s="83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84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1200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4518</v>
      </c>
      <c r="Q9">
        <f t="shared" ref="Q9:Q12" si="0">(P9*1.15)/1000</f>
        <v>5.1957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1659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9086</v>
      </c>
      <c r="Q10">
        <f t="shared" si="0"/>
        <v>10.4489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1200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1200</v>
      </c>
      <c r="Q11">
        <f t="shared" si="0"/>
        <v>1.38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996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1200</v>
      </c>
      <c r="Q12">
        <f t="shared" si="0"/>
        <v>1.38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1030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1765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1765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B26</f>
        <v>1022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6552</v>
      </c>
      <c r="Q17">
        <f>(P17*1.15)/1000</f>
        <v>7.5348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D26</f>
        <v>890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1022</v>
      </c>
      <c r="Q18">
        <f>(P18*1.1)/1000</f>
        <v>1.1242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C27</f>
        <v>853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B26</f>
        <v>1022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1200</v>
      </c>
      <c r="C21" s="63">
        <v>1765</v>
      </c>
      <c r="D21" s="64"/>
      <c r="E21" s="45"/>
      <c r="F21" s="45"/>
      <c r="G21" s="57" t="s">
        <v>45</v>
      </c>
      <c r="H21" s="50" t="s">
        <v>46</v>
      </c>
      <c r="I21" s="62">
        <f>B26</f>
        <v>1022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B27</f>
        <v>1022</v>
      </c>
      <c r="J22" s="62">
        <v>1</v>
      </c>
      <c r="K22" s="50" t="s">
        <v>33</v>
      </c>
      <c r="L22" s="62" t="s">
        <v>12</v>
      </c>
      <c r="M22" s="69"/>
      <c r="N22" s="69"/>
    </row>
    <row r="23" spans="1:14">
      <c r="A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ht="33.75" spans="1:14">
      <c r="A25" s="66" t="s">
        <v>57</v>
      </c>
      <c r="B25" s="57" t="s">
        <v>48</v>
      </c>
      <c r="C25" s="57" t="s">
        <v>49</v>
      </c>
      <c r="D25" s="65" t="s">
        <v>50</v>
      </c>
      <c r="E25" s="45"/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2">
        <f>B21-178</f>
        <v>1022</v>
      </c>
      <c r="C26" s="62">
        <f>C21/2+(-62.5)</f>
        <v>820</v>
      </c>
      <c r="D26" s="62">
        <f>C26+70</f>
        <v>890</v>
      </c>
      <c r="E26" s="62" t="s">
        <v>52</v>
      </c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B21-178</f>
        <v>1022</v>
      </c>
      <c r="C27" s="62">
        <f>C21/2+(-29.5)</f>
        <v>853</v>
      </c>
      <c r="D27" s="62" t="s">
        <v>12</v>
      </c>
      <c r="E27" s="62" t="s">
        <v>52</v>
      </c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8" t="s">
        <v>61</v>
      </c>
      <c r="C28" s="68" t="s">
        <v>62</v>
      </c>
      <c r="D28" s="51"/>
      <c r="E28" s="64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2">
        <f>B26-114+24</f>
        <v>932</v>
      </c>
      <c r="C29" s="62">
        <f>C26-100+24</f>
        <v>744</v>
      </c>
      <c r="D29" s="62" t="s">
        <v>68</v>
      </c>
      <c r="E29" s="45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2">
        <f>B27-114+24</f>
        <v>932</v>
      </c>
      <c r="C30" s="62">
        <f>C27-133+24</f>
        <v>744</v>
      </c>
      <c r="D30" s="62" t="s">
        <v>68</v>
      </c>
      <c r="E30" s="45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  <row r="35" spans="3:5">
      <c r="C35" s="82"/>
      <c r="D35" s="82"/>
      <c r="E35" s="82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4" sqref="A4:E5"/>
    </sheetView>
  </sheetViews>
  <sheetFormatPr defaultColWidth="9.14285714285714" defaultRowHeight="15"/>
  <sheetData>
    <row r="1" spans="1:11">
      <c r="A1" s="35" t="s">
        <v>96</v>
      </c>
      <c r="B1" s="36"/>
      <c r="C1" s="36"/>
      <c r="D1" s="36"/>
      <c r="E1" s="36"/>
      <c r="F1" s="36"/>
      <c r="G1" s="36"/>
      <c r="H1" s="36"/>
      <c r="I1" s="36"/>
      <c r="J1" s="36"/>
      <c r="K1" s="70"/>
    </row>
    <row r="2" spans="1:11">
      <c r="A2" s="37"/>
      <c r="B2" s="38"/>
      <c r="C2" s="38"/>
      <c r="D2" s="38"/>
      <c r="E2" s="38"/>
      <c r="F2" s="38"/>
      <c r="G2" s="38"/>
      <c r="H2" s="38"/>
      <c r="I2" s="38"/>
      <c r="J2" s="38"/>
      <c r="K2" s="71"/>
    </row>
    <row r="3" ht="15.75" spans="1:11">
      <c r="A3" s="39"/>
      <c r="B3" s="40"/>
      <c r="C3" s="40"/>
      <c r="D3" s="40"/>
      <c r="E3" s="40"/>
      <c r="F3" s="40"/>
      <c r="G3" s="40"/>
      <c r="H3" s="40"/>
      <c r="I3" s="40"/>
      <c r="J3" s="40"/>
      <c r="K3" s="72"/>
    </row>
    <row r="4" spans="1:11">
      <c r="A4" s="41" t="s">
        <v>98</v>
      </c>
      <c r="B4" s="11"/>
      <c r="C4" s="11"/>
      <c r="D4" s="11"/>
      <c r="E4" s="42"/>
      <c r="F4" s="41"/>
      <c r="G4" s="11"/>
      <c r="H4" s="42"/>
      <c r="I4" s="41"/>
      <c r="J4" s="42"/>
      <c r="K4" s="73"/>
    </row>
    <row r="5" ht="15.75" spans="1:11">
      <c r="A5" s="43"/>
      <c r="B5" s="30"/>
      <c r="C5" s="30"/>
      <c r="D5" s="30"/>
      <c r="E5" s="44"/>
      <c r="F5" s="43"/>
      <c r="G5" s="30"/>
      <c r="H5" s="44"/>
      <c r="I5" s="43"/>
      <c r="J5" s="44"/>
      <c r="K5" s="74"/>
    </row>
    <row r="8" spans="1:15">
      <c r="A8" s="45"/>
      <c r="B8" s="46" t="s">
        <v>1</v>
      </c>
      <c r="C8" s="47"/>
      <c r="D8" s="45"/>
      <c r="E8" s="45"/>
      <c r="F8" s="45"/>
      <c r="G8" s="48"/>
      <c r="H8" s="48" t="s">
        <v>2</v>
      </c>
      <c r="I8" s="48" t="s">
        <v>3</v>
      </c>
      <c r="J8" s="75" t="s">
        <v>4</v>
      </c>
      <c r="K8" s="48" t="s">
        <v>5</v>
      </c>
      <c r="L8" s="76"/>
      <c r="M8" s="69"/>
      <c r="N8" s="69"/>
      <c r="O8" t="s">
        <v>6</v>
      </c>
    </row>
    <row r="9" spans="1:17">
      <c r="A9" s="45"/>
      <c r="B9" s="45"/>
      <c r="C9" s="45"/>
      <c r="D9" s="45"/>
      <c r="E9" s="45"/>
      <c r="F9" s="45"/>
      <c r="G9" s="49" t="s">
        <v>7</v>
      </c>
      <c r="H9" s="50" t="s">
        <v>8</v>
      </c>
      <c r="I9" s="62">
        <f>B21</f>
        <v>1080</v>
      </c>
      <c r="J9" s="62">
        <v>1</v>
      </c>
      <c r="K9" s="77" t="s">
        <v>9</v>
      </c>
      <c r="L9" s="64"/>
      <c r="M9" s="69"/>
      <c r="N9" s="69"/>
      <c r="O9" t="s">
        <v>10</v>
      </c>
      <c r="P9">
        <f>I9+(I10*2)</f>
        <v>4118</v>
      </c>
      <c r="Q9">
        <f t="shared" ref="Q9:Q12" si="0">(P9*1.15)/1000</f>
        <v>4.7357</v>
      </c>
    </row>
    <row r="10" spans="1:17">
      <c r="A10" s="45"/>
      <c r="B10" s="45"/>
      <c r="C10" s="45"/>
      <c r="D10" s="45"/>
      <c r="E10" s="51"/>
      <c r="F10" s="45"/>
      <c r="G10" s="49" t="s">
        <v>11</v>
      </c>
      <c r="H10" s="50" t="s">
        <v>8</v>
      </c>
      <c r="I10" s="62">
        <f>C21-106</f>
        <v>1519</v>
      </c>
      <c r="J10" s="62">
        <v>2</v>
      </c>
      <c r="K10" s="62" t="s">
        <v>12</v>
      </c>
      <c r="L10" s="64"/>
      <c r="M10" s="69"/>
      <c r="N10" s="69"/>
      <c r="O10" t="s">
        <v>13</v>
      </c>
      <c r="P10">
        <f>I12+I13+(I14*2)+(I15*2)</f>
        <v>8286</v>
      </c>
      <c r="Q10">
        <f t="shared" si="0"/>
        <v>9.5289</v>
      </c>
    </row>
    <row r="11" spans="1:17">
      <c r="A11" s="45"/>
      <c r="B11" s="45"/>
      <c r="C11" s="45"/>
      <c r="D11" s="45"/>
      <c r="E11" s="45"/>
      <c r="F11" s="45"/>
      <c r="G11" s="52" t="s">
        <v>14</v>
      </c>
      <c r="H11" s="50" t="s">
        <v>15</v>
      </c>
      <c r="I11" s="62">
        <f>B21</f>
        <v>1080</v>
      </c>
      <c r="J11" s="62">
        <v>1</v>
      </c>
      <c r="K11" s="77" t="s">
        <v>16</v>
      </c>
      <c r="L11" s="64"/>
      <c r="M11" s="69"/>
      <c r="N11" s="69"/>
      <c r="O11" t="s">
        <v>17</v>
      </c>
      <c r="P11">
        <f>I11</f>
        <v>1080</v>
      </c>
      <c r="Q11">
        <f t="shared" si="0"/>
        <v>1.242</v>
      </c>
    </row>
    <row r="12" ht="22.5" spans="1:17">
      <c r="A12" s="45"/>
      <c r="B12" s="45"/>
      <c r="C12" s="45"/>
      <c r="D12" s="45"/>
      <c r="E12" s="45"/>
      <c r="F12" s="45"/>
      <c r="G12" s="53" t="s">
        <v>18</v>
      </c>
      <c r="H12" s="54" t="s">
        <v>19</v>
      </c>
      <c r="I12" s="63">
        <f>B21-204</f>
        <v>876</v>
      </c>
      <c r="J12" s="63">
        <v>1</v>
      </c>
      <c r="K12" s="62" t="s">
        <v>12</v>
      </c>
      <c r="L12" s="64"/>
      <c r="M12" s="69"/>
      <c r="N12" s="69"/>
      <c r="O12" t="s">
        <v>20</v>
      </c>
      <c r="P12">
        <f>I11</f>
        <v>1080</v>
      </c>
      <c r="Q12">
        <f t="shared" si="0"/>
        <v>1.242</v>
      </c>
    </row>
    <row r="13" ht="33.75" spans="1:14">
      <c r="A13" s="55" t="s">
        <v>21</v>
      </c>
      <c r="B13" s="45"/>
      <c r="C13" s="45"/>
      <c r="D13" s="45"/>
      <c r="E13" s="45"/>
      <c r="F13" s="45"/>
      <c r="G13" s="53" t="s">
        <v>22</v>
      </c>
      <c r="H13" s="54" t="s">
        <v>23</v>
      </c>
      <c r="I13" s="63">
        <f>B21-170</f>
        <v>910</v>
      </c>
      <c r="J13" s="63">
        <v>1</v>
      </c>
      <c r="K13" s="62" t="s">
        <v>12</v>
      </c>
      <c r="L13" s="64"/>
      <c r="M13" s="69"/>
      <c r="N13" s="69"/>
    </row>
    <row r="14" ht="22.5" spans="1:14">
      <c r="A14" s="45"/>
      <c r="B14" s="45"/>
      <c r="C14" s="45"/>
      <c r="D14" s="45"/>
      <c r="E14" s="45"/>
      <c r="F14" s="45"/>
      <c r="G14" s="53" t="s">
        <v>24</v>
      </c>
      <c r="H14" s="54" t="s">
        <v>19</v>
      </c>
      <c r="I14" s="63">
        <f>C21</f>
        <v>1625</v>
      </c>
      <c r="J14" s="63">
        <v>2</v>
      </c>
      <c r="K14" s="62" t="s">
        <v>12</v>
      </c>
      <c r="L14" s="64"/>
      <c r="M14" s="69"/>
      <c r="N14" s="69"/>
    </row>
    <row r="15" ht="22.5" spans="1:14">
      <c r="A15" s="45"/>
      <c r="B15" s="45"/>
      <c r="C15" s="45"/>
      <c r="D15" s="45"/>
      <c r="E15" s="45"/>
      <c r="F15" s="45"/>
      <c r="G15" s="53" t="s">
        <v>25</v>
      </c>
      <c r="H15" s="54" t="s">
        <v>26</v>
      </c>
      <c r="I15" s="63">
        <f>C21</f>
        <v>1625</v>
      </c>
      <c r="J15" s="63">
        <v>2</v>
      </c>
      <c r="K15" s="62" t="s">
        <v>12</v>
      </c>
      <c r="L15" s="64"/>
      <c r="M15" s="69"/>
      <c r="N15" s="69"/>
    </row>
    <row r="16" spans="1:15">
      <c r="A16" s="45"/>
      <c r="B16" s="45"/>
      <c r="C16" s="45"/>
      <c r="D16" s="45"/>
      <c r="E16" s="45"/>
      <c r="F16" s="45"/>
      <c r="G16" s="56"/>
      <c r="H16" s="56" t="s">
        <v>27</v>
      </c>
      <c r="I16" s="56" t="s">
        <v>3</v>
      </c>
      <c r="J16" s="78" t="s">
        <v>4</v>
      </c>
      <c r="K16" s="56" t="s">
        <v>28</v>
      </c>
      <c r="L16" s="79" t="s">
        <v>29</v>
      </c>
      <c r="M16" s="69"/>
      <c r="N16" s="69"/>
      <c r="O16" t="s">
        <v>30</v>
      </c>
    </row>
    <row r="17" spans="1:17">
      <c r="A17" s="45"/>
      <c r="B17" s="45"/>
      <c r="C17" s="45"/>
      <c r="D17" s="45"/>
      <c r="E17" s="45"/>
      <c r="F17" s="45"/>
      <c r="G17" s="57" t="s">
        <v>31</v>
      </c>
      <c r="H17" s="50" t="s">
        <v>32</v>
      </c>
      <c r="I17" s="62">
        <f>B24</f>
        <v>902</v>
      </c>
      <c r="J17" s="62">
        <v>1</v>
      </c>
      <c r="K17" s="50" t="s">
        <v>33</v>
      </c>
      <c r="L17" s="62" t="s">
        <v>12</v>
      </c>
      <c r="M17" s="69"/>
      <c r="N17" s="69"/>
      <c r="O17" t="s">
        <v>34</v>
      </c>
      <c r="P17">
        <f>(I17*J17)+(I18*J18)+(I19*J19)+I21+I22</f>
        <v>5912</v>
      </c>
      <c r="Q17">
        <f>(P17*1.15)/1000</f>
        <v>6.7988</v>
      </c>
    </row>
    <row r="18" ht="33.75" spans="1:17">
      <c r="A18" s="45"/>
      <c r="B18" s="45"/>
      <c r="C18" s="45"/>
      <c r="D18" s="45"/>
      <c r="E18" s="45"/>
      <c r="F18" s="45"/>
      <c r="G18" s="58" t="s">
        <v>35</v>
      </c>
      <c r="H18" s="54" t="s">
        <v>32</v>
      </c>
      <c r="I18" s="63">
        <f>D24</f>
        <v>820</v>
      </c>
      <c r="J18" s="63">
        <v>2</v>
      </c>
      <c r="K18" s="63" t="s">
        <v>12</v>
      </c>
      <c r="L18" s="80" t="s">
        <v>36</v>
      </c>
      <c r="M18" s="69"/>
      <c r="N18" s="69"/>
      <c r="O18" t="s">
        <v>37</v>
      </c>
      <c r="P18">
        <f>I20</f>
        <v>902</v>
      </c>
      <c r="Q18">
        <f>(P18*1.1)/1000</f>
        <v>0.9922</v>
      </c>
    </row>
    <row r="19" ht="33.75" spans="1:14">
      <c r="A19" s="45"/>
      <c r="B19" s="59" t="s">
        <v>38</v>
      </c>
      <c r="C19" s="60"/>
      <c r="D19" s="45"/>
      <c r="E19" s="45"/>
      <c r="F19" s="45"/>
      <c r="G19" s="61" t="s">
        <v>39</v>
      </c>
      <c r="H19" s="54" t="s">
        <v>32</v>
      </c>
      <c r="I19" s="63">
        <f>C25</f>
        <v>783</v>
      </c>
      <c r="J19" s="63">
        <v>2</v>
      </c>
      <c r="K19" s="63" t="s">
        <v>12</v>
      </c>
      <c r="L19" s="80" t="s">
        <v>40</v>
      </c>
      <c r="M19" s="69"/>
      <c r="N19" s="69"/>
    </row>
    <row r="20" spans="1:14">
      <c r="A20" s="45"/>
      <c r="B20" s="49" t="s">
        <v>41</v>
      </c>
      <c r="C20" s="49" t="s">
        <v>42</v>
      </c>
      <c r="D20" s="51"/>
      <c r="E20" s="45"/>
      <c r="F20" s="45"/>
      <c r="G20" s="57" t="s">
        <v>43</v>
      </c>
      <c r="H20" s="50" t="s">
        <v>44</v>
      </c>
      <c r="I20" s="62">
        <f>B24</f>
        <v>902</v>
      </c>
      <c r="J20" s="62">
        <v>1</v>
      </c>
      <c r="K20" s="50" t="s">
        <v>33</v>
      </c>
      <c r="L20" s="62" t="s">
        <v>12</v>
      </c>
      <c r="M20" s="69"/>
      <c r="N20" s="69"/>
    </row>
    <row r="21" spans="1:14">
      <c r="A21" s="45"/>
      <c r="B21" s="62">
        <v>1080</v>
      </c>
      <c r="C21" s="63">
        <v>1625</v>
      </c>
      <c r="D21" s="64"/>
      <c r="E21" s="45"/>
      <c r="F21" s="45"/>
      <c r="G21" s="57" t="s">
        <v>45</v>
      </c>
      <c r="H21" s="50" t="s">
        <v>46</v>
      </c>
      <c r="I21" s="62">
        <f>B24</f>
        <v>902</v>
      </c>
      <c r="J21" s="62">
        <v>1</v>
      </c>
      <c r="K21" s="50" t="s">
        <v>33</v>
      </c>
      <c r="L21" s="62" t="s">
        <v>12</v>
      </c>
      <c r="M21" s="69"/>
      <c r="N21" s="69"/>
    </row>
    <row r="22" spans="1:14">
      <c r="A22" s="45"/>
      <c r="B22" s="45"/>
      <c r="C22" s="45"/>
      <c r="D22" s="45"/>
      <c r="E22" s="45"/>
      <c r="F22" s="45"/>
      <c r="G22" s="57" t="s">
        <v>47</v>
      </c>
      <c r="H22" s="50" t="s">
        <v>46</v>
      </c>
      <c r="I22" s="62">
        <f>B25</f>
        <v>902</v>
      </c>
      <c r="J22" s="62">
        <v>1</v>
      </c>
      <c r="K22" s="50" t="s">
        <v>33</v>
      </c>
      <c r="L22" s="62" t="s">
        <v>12</v>
      </c>
      <c r="M22" s="69"/>
      <c r="N22" s="69"/>
    </row>
    <row r="23" ht="33.75" spans="1:14">
      <c r="A23" s="45"/>
      <c r="B23" s="57" t="s">
        <v>48</v>
      </c>
      <c r="C23" s="57" t="s">
        <v>49</v>
      </c>
      <c r="D23" s="65" t="s">
        <v>50</v>
      </c>
      <c r="E23" s="45"/>
      <c r="F23" s="45"/>
      <c r="G23" s="45"/>
      <c r="H23" s="45"/>
      <c r="I23" s="45"/>
      <c r="J23" s="45"/>
      <c r="K23" s="45"/>
      <c r="L23" s="45"/>
      <c r="M23" s="69"/>
      <c r="N23" s="69"/>
    </row>
    <row r="24" spans="1:14">
      <c r="A24" s="66" t="s">
        <v>51</v>
      </c>
      <c r="B24" s="62">
        <f>B21-178</f>
        <v>902</v>
      </c>
      <c r="C24" s="62">
        <f>C21/2+(-62.5)</f>
        <v>750</v>
      </c>
      <c r="D24" s="62">
        <f>C24+70</f>
        <v>820</v>
      </c>
      <c r="E24" s="62" t="s">
        <v>52</v>
      </c>
      <c r="F24" s="45"/>
      <c r="G24" s="67" t="s">
        <v>53</v>
      </c>
      <c r="H24" s="62" t="s">
        <v>54</v>
      </c>
      <c r="I24" s="62" t="s">
        <v>55</v>
      </c>
      <c r="J24" s="50" t="s">
        <v>56</v>
      </c>
      <c r="K24" s="50"/>
      <c r="L24" s="45"/>
      <c r="M24" s="69"/>
      <c r="N24" s="69"/>
    </row>
    <row r="25" spans="1:14">
      <c r="A25" s="66" t="s">
        <v>57</v>
      </c>
      <c r="B25" s="62">
        <f>B21-178</f>
        <v>902</v>
      </c>
      <c r="C25" s="62">
        <f>C21/2+(-29.5)</f>
        <v>783</v>
      </c>
      <c r="D25" s="62" t="s">
        <v>12</v>
      </c>
      <c r="E25" s="62" t="s">
        <v>52</v>
      </c>
      <c r="F25" s="45"/>
      <c r="G25" s="67" t="s">
        <v>58</v>
      </c>
      <c r="H25" s="62" t="s">
        <v>59</v>
      </c>
      <c r="I25" s="62" t="s">
        <v>60</v>
      </c>
      <c r="J25" s="50"/>
      <c r="K25" s="81"/>
      <c r="L25" s="45"/>
      <c r="M25" s="69"/>
      <c r="N25" s="69"/>
    </row>
    <row r="26" spans="1:14">
      <c r="A26" s="45"/>
      <c r="B26" s="68" t="s">
        <v>61</v>
      </c>
      <c r="C26" s="68" t="s">
        <v>62</v>
      </c>
      <c r="D26" s="51"/>
      <c r="E26" s="64"/>
      <c r="F26" s="45"/>
      <c r="G26" s="67" t="s">
        <v>63</v>
      </c>
      <c r="H26" s="62" t="s">
        <v>64</v>
      </c>
      <c r="I26" s="62" t="s">
        <v>65</v>
      </c>
      <c r="J26" s="50" t="s">
        <v>66</v>
      </c>
      <c r="K26" s="50" t="s">
        <v>67</v>
      </c>
      <c r="L26" s="45"/>
      <c r="M26" s="69"/>
      <c r="N26" s="69"/>
    </row>
    <row r="27" spans="1:14">
      <c r="A27" s="45"/>
      <c r="B27" s="62">
        <f>B24-114+24</f>
        <v>812</v>
      </c>
      <c r="C27" s="62">
        <f>C24-100+24</f>
        <v>674</v>
      </c>
      <c r="D27" s="62" t="s">
        <v>68</v>
      </c>
      <c r="E27" s="45"/>
      <c r="F27" s="45"/>
      <c r="G27" s="67" t="s">
        <v>63</v>
      </c>
      <c r="H27" s="62" t="s">
        <v>69</v>
      </c>
      <c r="I27" s="62" t="s">
        <v>70</v>
      </c>
      <c r="J27" s="50" t="s">
        <v>66</v>
      </c>
      <c r="K27" s="50" t="s">
        <v>67</v>
      </c>
      <c r="L27" s="45"/>
      <c r="M27" s="69"/>
      <c r="N27" s="69"/>
    </row>
    <row r="28" spans="1:14">
      <c r="A28" s="45"/>
      <c r="B28" s="62">
        <f>B25-114+24</f>
        <v>812</v>
      </c>
      <c r="C28" s="62">
        <f>C25-133+24</f>
        <v>674</v>
      </c>
      <c r="D28" s="62" t="s">
        <v>68</v>
      </c>
      <c r="E28" s="45"/>
      <c r="F28" s="45"/>
      <c r="G28" s="67" t="s">
        <v>71</v>
      </c>
      <c r="H28" s="62" t="s">
        <v>72</v>
      </c>
      <c r="I28" s="62" t="s">
        <v>73</v>
      </c>
      <c r="J28" s="62" t="s">
        <v>74</v>
      </c>
      <c r="K28" s="50" t="s">
        <v>67</v>
      </c>
      <c r="L28" s="45"/>
      <c r="M28" s="69"/>
      <c r="N28" s="69"/>
    </row>
    <row r="29" spans="1:14">
      <c r="A29" s="69"/>
      <c r="B29" s="69"/>
      <c r="C29" s="69"/>
      <c r="D29" s="69"/>
      <c r="E29" s="69"/>
      <c r="F29" s="45"/>
      <c r="G29" s="67" t="s">
        <v>75</v>
      </c>
      <c r="H29" s="62" t="s">
        <v>76</v>
      </c>
      <c r="I29" s="62" t="s">
        <v>77</v>
      </c>
      <c r="J29" s="62" t="s">
        <v>78</v>
      </c>
      <c r="K29" s="62" t="s">
        <v>79</v>
      </c>
      <c r="L29" s="45"/>
      <c r="M29" s="69"/>
      <c r="N29" s="69"/>
    </row>
    <row r="30" spans="1:14">
      <c r="A30" s="69"/>
      <c r="B30" s="69"/>
      <c r="C30" s="69"/>
      <c r="D30" s="69"/>
      <c r="E30" s="69"/>
      <c r="F30" s="51"/>
      <c r="G30" s="67" t="s">
        <v>80</v>
      </c>
      <c r="H30" s="62" t="s">
        <v>81</v>
      </c>
      <c r="I30" s="62" t="s">
        <v>82</v>
      </c>
      <c r="J30" s="50"/>
      <c r="K30" s="50"/>
      <c r="L30" s="45"/>
      <c r="M30" s="69"/>
      <c r="N30" s="69"/>
    </row>
    <row r="31" spans="1:14">
      <c r="A31" s="69"/>
      <c r="B31" s="69"/>
      <c r="C31" s="69"/>
      <c r="D31" s="69"/>
      <c r="E31" s="69"/>
      <c r="F31" s="64"/>
      <c r="G31" s="45"/>
      <c r="H31" s="45"/>
      <c r="I31" s="45"/>
      <c r="J31" s="45"/>
      <c r="K31" s="45"/>
      <c r="L31" s="45"/>
      <c r="M31" s="69"/>
      <c r="N31" s="69"/>
    </row>
    <row r="32" spans="1:14">
      <c r="A32" s="69"/>
      <c r="B32" s="69"/>
      <c r="C32" s="69"/>
      <c r="D32" s="69"/>
      <c r="E32" s="69"/>
      <c r="F32" s="45"/>
      <c r="G32" s="50"/>
      <c r="H32" s="50"/>
      <c r="I32" s="50"/>
      <c r="J32" s="50"/>
      <c r="K32" s="50" t="s">
        <v>83</v>
      </c>
      <c r="L32" s="45"/>
      <c r="M32" s="69"/>
      <c r="N32" s="69"/>
    </row>
    <row r="33" spans="1:14">
      <c r="A33" s="69"/>
      <c r="B33" s="69"/>
      <c r="C33" s="69"/>
      <c r="D33" s="69"/>
      <c r="E33" s="69"/>
      <c r="F33" s="45"/>
      <c r="G33" s="67" t="s">
        <v>84</v>
      </c>
      <c r="H33" s="62">
        <v>1500</v>
      </c>
      <c r="I33" s="62" t="s">
        <v>85</v>
      </c>
      <c r="J33" s="62">
        <f>H33*20%</f>
        <v>300</v>
      </c>
      <c r="K33" s="62">
        <f>H33+J33</f>
        <v>1800</v>
      </c>
      <c r="L33" s="64"/>
      <c r="M33" s="69"/>
      <c r="N33" s="69"/>
    </row>
    <row r="34" spans="1:14">
      <c r="A34" s="69"/>
      <c r="B34" s="69"/>
      <c r="C34" s="69"/>
      <c r="D34" s="69"/>
      <c r="E34" s="69"/>
      <c r="F34" s="45"/>
      <c r="G34" s="45"/>
      <c r="H34" s="64"/>
      <c r="I34" s="64"/>
      <c r="J34" s="64"/>
      <c r="K34" s="64"/>
      <c r="L34" s="64"/>
      <c r="M34" s="69"/>
      <c r="N34" s="69"/>
    </row>
  </sheetData>
  <mergeCells count="7">
    <mergeCell ref="B8:C8"/>
    <mergeCell ref="B19:C19"/>
    <mergeCell ref="K4:K5"/>
    <mergeCell ref="A1:K3"/>
    <mergeCell ref="A4:E5"/>
    <mergeCell ref="F4:H5"/>
    <mergeCell ref="I4:J5"/>
  </mergeCells>
  <pageMargins left="0.75" right="0.75" top="1" bottom="1" header="0.5" footer="0.5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E21"/>
  <sheetViews>
    <sheetView topLeftCell="A4" workbookViewId="0">
      <selection activeCell="A7" sqref="A7:E20"/>
    </sheetView>
  </sheetViews>
  <sheetFormatPr defaultColWidth="9.14285714285714" defaultRowHeight="15" outlineLevelCol="4"/>
  <cols>
    <col min="2" max="2" width="24.1428571428571" customWidth="1"/>
    <col min="3" max="3" width="10.7142857142857" customWidth="1"/>
  </cols>
  <sheetData>
    <row r="9" spans="2:3">
      <c r="B9" t="s">
        <v>6</v>
      </c>
      <c r="C9" s="8" t="s">
        <v>99</v>
      </c>
    </row>
    <row r="10" spans="2:3">
      <c r="B10" t="s">
        <v>10</v>
      </c>
      <c r="C10" s="32">
        <f>'W-1'!Q9+'W-2'!Q9+'W-3'!Q9+'W-4'!Q9++'W-5'!Q9+'W-6'!Q9+'W-7'!Q9++'W-8'!Q9+'W-9'!Q9+'W-10'!Q9</f>
        <v>45.7355</v>
      </c>
    </row>
    <row r="11" spans="2:3">
      <c r="B11" t="s">
        <v>13</v>
      </c>
      <c r="C11" s="32">
        <f>'W-1'!Q10+'W-2'!Q10+'W-3'!Q10+'W-4'!Q10++'W-5'!Q10+'W-6'!Q10+'W-7'!Q10++'W-8'!Q10+'W-9'!Q10+'W-10'!Q10</f>
        <v>92.046</v>
      </c>
    </row>
    <row r="12" spans="2:3">
      <c r="B12" t="s">
        <v>17</v>
      </c>
      <c r="C12" s="32">
        <f>'W-1'!Q11+'W-2'!Q11+'W-3'!Q11+'W-4'!Q11++'W-5'!Q11+'W-6'!Q11+'W-7'!Q11++'W-8'!Q11+'W-9'!Q11+'W-10'!Q11</f>
        <v>10.649</v>
      </c>
    </row>
    <row r="13" spans="2:3">
      <c r="B13" t="s">
        <v>20</v>
      </c>
      <c r="C13" s="32">
        <f>'W-1'!Q12+'W-2'!Q12+'W-3'!Q12+'W-4'!Q12++'W-5'!Q12+'W-6'!Q12+'W-7'!Q12++'W-8'!Q12+'W-9'!Q12+'W-10'!Q12</f>
        <v>10.649</v>
      </c>
    </row>
    <row r="14" spans="3:3">
      <c r="C14" s="32"/>
    </row>
    <row r="15" spans="3:3">
      <c r="C15" s="32"/>
    </row>
    <row r="16" spans="3:3">
      <c r="C16" s="32"/>
    </row>
    <row r="17" spans="2:4">
      <c r="B17" t="s">
        <v>100</v>
      </c>
      <c r="C17" s="32" t="s">
        <v>99</v>
      </c>
      <c r="D17" t="s">
        <v>101</v>
      </c>
    </row>
    <row r="18" spans="2:5">
      <c r="B18" t="s">
        <v>34</v>
      </c>
      <c r="C18" s="32">
        <f>'W-1'!Q17+'W-2'!Q17+'W-3'!Q17+'W-4'!Q17++'W-5'!Q17+'W-6'!Q17+'W-7'!Q17++'W-8'!Q17+'W-9'!Q17+'W-10'!Q17</f>
        <v>62.8245</v>
      </c>
      <c r="D18" s="33">
        <f>C18/6</f>
        <v>10.47075</v>
      </c>
      <c r="E18" t="s">
        <v>102</v>
      </c>
    </row>
    <row r="19" spans="2:5">
      <c r="B19" t="s">
        <v>37</v>
      </c>
      <c r="C19" s="32">
        <f>'W-1'!Q18+'W-2'!Q18+'W-3'!Q18+'W-4'!Q18++'W-5'!Q18+'W-6'!Q18+'W-7'!Q18++'W-8'!Q18+'W-9'!Q18+'W-10'!Q18</f>
        <v>8.228</v>
      </c>
      <c r="D19" s="33">
        <f>C19/6</f>
        <v>1.37133333333333</v>
      </c>
      <c r="E19" t="s">
        <v>102</v>
      </c>
    </row>
    <row r="20" spans="3:3">
      <c r="C20" s="32"/>
    </row>
    <row r="21" spans="3:3">
      <c r="C21" s="34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58"/>
  <sheetViews>
    <sheetView zoomScale="85" zoomScaleNormal="85" workbookViewId="0">
      <selection activeCell="F149" sqref="F149"/>
    </sheetView>
  </sheetViews>
  <sheetFormatPr defaultColWidth="9.14285714285714" defaultRowHeight="15" outlineLevelCol="6"/>
  <cols>
    <col min="1" max="1" width="3.14285714285714" customWidth="1"/>
    <col min="2" max="2" width="15.5714285714286" customWidth="1"/>
    <col min="4" max="4" width="12.5714285714286" customWidth="1"/>
    <col min="5" max="5" width="9.14285714285714" style="8"/>
    <col min="6" max="6" width="14.8571428571429" customWidth="1"/>
    <col min="7" max="7" width="13.8571428571429" customWidth="1"/>
  </cols>
  <sheetData>
    <row r="1" spans="2:7">
      <c r="B1" s="9"/>
      <c r="C1" s="10"/>
      <c r="D1" s="11" t="s">
        <v>103</v>
      </c>
      <c r="E1" s="11"/>
      <c r="F1" s="10"/>
      <c r="G1" s="12"/>
    </row>
    <row r="2" ht="15.75" spans="2:7">
      <c r="B2" s="13"/>
      <c r="C2" s="14"/>
      <c r="D2" s="15">
        <f>'W-1'!B27</f>
        <v>652</v>
      </c>
      <c r="E2" s="15"/>
      <c r="F2" s="14"/>
      <c r="G2" s="16"/>
    </row>
    <row r="3" spans="2:7">
      <c r="B3" s="13"/>
      <c r="C3" s="14"/>
      <c r="D3" s="17"/>
      <c r="E3" s="18"/>
      <c r="F3" s="14"/>
      <c r="G3" s="16"/>
    </row>
    <row r="4" ht="18.75" spans="2:7">
      <c r="B4" s="19" t="s">
        <v>104</v>
      </c>
      <c r="C4" s="14"/>
      <c r="D4" s="20"/>
      <c r="E4" s="21"/>
      <c r="F4" s="14"/>
      <c r="G4" s="16"/>
    </row>
    <row r="5" ht="18.75" spans="2:7">
      <c r="B5" s="19"/>
      <c r="C5" s="14"/>
      <c r="D5" s="20"/>
      <c r="E5" s="21"/>
      <c r="F5" s="14"/>
      <c r="G5" s="16"/>
    </row>
    <row r="6" spans="2:7">
      <c r="B6" s="13"/>
      <c r="C6" s="14"/>
      <c r="D6" s="20"/>
      <c r="E6" s="21"/>
      <c r="F6" s="14">
        <f>'W-1'!C27</f>
        <v>331.5</v>
      </c>
      <c r="G6" s="16"/>
    </row>
    <row r="7" spans="2:7">
      <c r="B7" s="13"/>
      <c r="C7" s="14"/>
      <c r="D7" s="20"/>
      <c r="E7" s="21"/>
      <c r="F7" s="14" t="s">
        <v>105</v>
      </c>
      <c r="G7" s="16"/>
    </row>
    <row r="8" spans="2:7">
      <c r="B8" s="13"/>
      <c r="C8" s="14"/>
      <c r="D8" s="20"/>
      <c r="E8" s="21"/>
      <c r="F8" s="14"/>
      <c r="G8" s="16"/>
    </row>
    <row r="9" ht="15.75" spans="2:7">
      <c r="B9" s="13"/>
      <c r="C9" s="14"/>
      <c r="D9" s="22"/>
      <c r="E9" s="23"/>
      <c r="F9" s="14"/>
      <c r="G9" s="16"/>
    </row>
    <row r="10" spans="2:7">
      <c r="B10" s="13"/>
      <c r="C10" s="14"/>
      <c r="D10" s="14"/>
      <c r="E10" s="15"/>
      <c r="F10" s="14"/>
      <c r="G10" s="16"/>
    </row>
    <row r="11" spans="2:7">
      <c r="B11" s="13" t="s">
        <v>103</v>
      </c>
      <c r="C11" s="15">
        <f>D2</f>
        <v>652</v>
      </c>
      <c r="D11" s="14" t="s">
        <v>106</v>
      </c>
      <c r="E11" s="15" t="s">
        <v>54</v>
      </c>
      <c r="F11" s="14"/>
      <c r="G11" s="16"/>
    </row>
    <row r="12" spans="2:7">
      <c r="B12" s="13" t="s">
        <v>107</v>
      </c>
      <c r="C12" s="15">
        <f>F6</f>
        <v>331.5</v>
      </c>
      <c r="D12" s="14" t="s">
        <v>108</v>
      </c>
      <c r="E12" s="15" t="s">
        <v>109</v>
      </c>
      <c r="F12" s="14"/>
      <c r="G12" s="16"/>
    </row>
    <row r="13" spans="2:7">
      <c r="B13" s="13"/>
      <c r="C13" s="14"/>
      <c r="D13" s="14" t="s">
        <v>110</v>
      </c>
      <c r="E13" s="15" t="s">
        <v>111</v>
      </c>
      <c r="F13" s="14" t="s">
        <v>112</v>
      </c>
      <c r="G13" s="16"/>
    </row>
    <row r="14" ht="15.75" spans="2:7">
      <c r="B14" s="13"/>
      <c r="C14" s="14"/>
      <c r="D14" s="24" t="s">
        <v>113</v>
      </c>
      <c r="E14" s="25">
        <v>2</v>
      </c>
      <c r="F14" s="14"/>
      <c r="G14" s="16"/>
    </row>
    <row r="15" ht="15.75" spans="2:7">
      <c r="B15" s="26"/>
      <c r="C15" s="14"/>
      <c r="D15" s="15" t="s">
        <v>114</v>
      </c>
      <c r="E15" s="15" t="s">
        <v>115</v>
      </c>
      <c r="F15" s="14"/>
      <c r="G15" s="16"/>
    </row>
    <row r="16" spans="2:7">
      <c r="B16" s="9"/>
      <c r="C16" s="10"/>
      <c r="D16" s="11" t="s">
        <v>103</v>
      </c>
      <c r="E16" s="11"/>
      <c r="F16" s="10"/>
      <c r="G16" s="12"/>
    </row>
    <row r="17" ht="15.75" spans="2:7">
      <c r="B17" s="13"/>
      <c r="C17" s="14"/>
      <c r="D17" s="15">
        <f>'W-2'!B27</f>
        <v>802</v>
      </c>
      <c r="E17" s="15"/>
      <c r="F17" s="14"/>
      <c r="G17" s="16"/>
    </row>
    <row r="18" spans="2:7">
      <c r="B18" s="13"/>
      <c r="C18" s="14"/>
      <c r="D18" s="17"/>
      <c r="E18" s="18"/>
      <c r="F18" s="14"/>
      <c r="G18" s="16"/>
    </row>
    <row r="19" ht="18.75" spans="2:7">
      <c r="B19" s="19"/>
      <c r="C19" s="14"/>
      <c r="D19" s="20"/>
      <c r="E19" s="21"/>
      <c r="F19" s="14"/>
      <c r="G19" s="16"/>
    </row>
    <row r="20" ht="18.75" spans="2:7">
      <c r="B20" s="19" t="s">
        <v>86</v>
      </c>
      <c r="C20" s="14"/>
      <c r="D20" s="20"/>
      <c r="E20" s="21"/>
      <c r="F20" s="14"/>
      <c r="G20" s="16"/>
    </row>
    <row r="21" spans="2:7">
      <c r="B21" s="13"/>
      <c r="C21" s="14"/>
      <c r="D21" s="20"/>
      <c r="E21" s="21"/>
      <c r="F21" s="14">
        <f>'W-2'!C27</f>
        <v>724</v>
      </c>
      <c r="G21" s="16"/>
    </row>
    <row r="22" spans="2:7">
      <c r="B22" s="13"/>
      <c r="C22" s="14"/>
      <c r="D22" s="20"/>
      <c r="E22" s="21"/>
      <c r="F22" s="14" t="s">
        <v>105</v>
      </c>
      <c r="G22" s="16"/>
    </row>
    <row r="23" spans="2:7">
      <c r="B23" s="13"/>
      <c r="C23" s="14"/>
      <c r="D23" s="20"/>
      <c r="E23" s="21"/>
      <c r="F23" s="14"/>
      <c r="G23" s="16"/>
    </row>
    <row r="24" ht="15.75" spans="2:7">
      <c r="B24" s="13"/>
      <c r="C24" s="14"/>
      <c r="D24" s="22"/>
      <c r="E24" s="23"/>
      <c r="F24" s="14"/>
      <c r="G24" s="16"/>
    </row>
    <row r="25" spans="2:7">
      <c r="B25" s="13"/>
      <c r="C25" s="14"/>
      <c r="D25" s="14"/>
      <c r="E25" s="15"/>
      <c r="F25" s="14"/>
      <c r="G25" s="16"/>
    </row>
    <row r="26" spans="2:7">
      <c r="B26" s="13" t="s">
        <v>103</v>
      </c>
      <c r="C26" s="15">
        <f>D17</f>
        <v>802</v>
      </c>
      <c r="D26" s="14" t="s">
        <v>106</v>
      </c>
      <c r="E26" s="15" t="s">
        <v>54</v>
      </c>
      <c r="F26" s="14"/>
      <c r="G26" s="16"/>
    </row>
    <row r="27" spans="2:7">
      <c r="B27" s="13" t="s">
        <v>107</v>
      </c>
      <c r="C27" s="15">
        <f>F21</f>
        <v>724</v>
      </c>
      <c r="D27" s="14" t="s">
        <v>108</v>
      </c>
      <c r="E27" s="15" t="s">
        <v>109</v>
      </c>
      <c r="F27" s="14"/>
      <c r="G27" s="16"/>
    </row>
    <row r="28" spans="2:7">
      <c r="B28" s="13"/>
      <c r="C28" s="14"/>
      <c r="D28" s="14" t="s">
        <v>110</v>
      </c>
      <c r="E28" s="15" t="s">
        <v>111</v>
      </c>
      <c r="F28" s="14" t="s">
        <v>112</v>
      </c>
      <c r="G28" s="16"/>
    </row>
    <row r="29" ht="15.75" spans="2:7">
      <c r="B29" s="13"/>
      <c r="C29" s="14"/>
      <c r="D29" s="24" t="s">
        <v>113</v>
      </c>
      <c r="E29" s="25">
        <v>2</v>
      </c>
      <c r="F29" s="14"/>
      <c r="G29" s="16"/>
    </row>
    <row r="30" ht="15.75" spans="2:7">
      <c r="B30" s="13"/>
      <c r="C30" s="14"/>
      <c r="D30" s="15" t="s">
        <v>114</v>
      </c>
      <c r="E30" s="15" t="s">
        <v>115</v>
      </c>
      <c r="F30" s="14"/>
      <c r="G30" s="16"/>
    </row>
    <row r="31" spans="2:7">
      <c r="B31" s="27"/>
      <c r="C31" s="10"/>
      <c r="D31" s="11"/>
      <c r="E31" s="11"/>
      <c r="F31" s="10"/>
      <c r="G31" s="12"/>
    </row>
    <row r="32" spans="2:7">
      <c r="B32" s="26"/>
      <c r="C32" s="14"/>
      <c r="D32" s="15" t="s">
        <v>103</v>
      </c>
      <c r="E32" s="15"/>
      <c r="F32" s="14"/>
      <c r="G32" s="16"/>
    </row>
    <row r="33" ht="15.75" spans="2:7">
      <c r="B33" s="13"/>
      <c r="C33" s="14"/>
      <c r="D33" s="15">
        <f>'W-3'!B27</f>
        <v>782</v>
      </c>
      <c r="E33" s="15"/>
      <c r="F33" s="14"/>
      <c r="G33" s="16"/>
    </row>
    <row r="34" spans="2:7">
      <c r="B34" s="13"/>
      <c r="C34" s="14"/>
      <c r="D34" s="17"/>
      <c r="E34" s="18"/>
      <c r="F34" s="14"/>
      <c r="G34" s="16"/>
    </row>
    <row r="35" ht="18.75" spans="2:7">
      <c r="B35" s="19"/>
      <c r="C35" s="14"/>
      <c r="D35" s="20"/>
      <c r="E35" s="21"/>
      <c r="F35" s="14"/>
      <c r="G35" s="16"/>
    </row>
    <row r="36" ht="18.75" spans="2:7">
      <c r="B36" s="19" t="s">
        <v>87</v>
      </c>
      <c r="C36" s="14"/>
      <c r="D36" s="20"/>
      <c r="E36" s="21"/>
      <c r="F36" s="14"/>
      <c r="G36" s="16"/>
    </row>
    <row r="37" spans="2:7">
      <c r="B37" s="13"/>
      <c r="C37" s="14"/>
      <c r="D37" s="20"/>
      <c r="E37" s="21"/>
      <c r="F37" s="14">
        <f>'W-3'!C27</f>
        <v>709</v>
      </c>
      <c r="G37" s="16"/>
    </row>
    <row r="38" spans="2:7">
      <c r="B38" s="13"/>
      <c r="C38" s="14"/>
      <c r="D38" s="20"/>
      <c r="E38" s="21"/>
      <c r="F38" s="14" t="s">
        <v>105</v>
      </c>
      <c r="G38" s="16"/>
    </row>
    <row r="39" spans="2:7">
      <c r="B39" s="13"/>
      <c r="C39" s="14"/>
      <c r="D39" s="20"/>
      <c r="E39" s="21"/>
      <c r="F39" s="14"/>
      <c r="G39" s="16"/>
    </row>
    <row r="40" ht="15.75" spans="2:7">
      <c r="B40" s="13"/>
      <c r="C40" s="14"/>
      <c r="D40" s="22"/>
      <c r="E40" s="23"/>
      <c r="F40" s="14"/>
      <c r="G40" s="16"/>
    </row>
    <row r="41" spans="2:7">
      <c r="B41" s="13"/>
      <c r="C41" s="14"/>
      <c r="D41" s="14"/>
      <c r="E41" s="15"/>
      <c r="F41" s="14"/>
      <c r="G41" s="16"/>
    </row>
    <row r="42" spans="2:7">
      <c r="B42" s="13" t="s">
        <v>103</v>
      </c>
      <c r="C42" s="15">
        <f>D33</f>
        <v>782</v>
      </c>
      <c r="D42" s="14" t="s">
        <v>106</v>
      </c>
      <c r="E42" s="15" t="s">
        <v>54</v>
      </c>
      <c r="F42" s="14"/>
      <c r="G42" s="16"/>
    </row>
    <row r="43" spans="2:7">
      <c r="B43" s="13" t="s">
        <v>107</v>
      </c>
      <c r="C43" s="15">
        <f>F37</f>
        <v>709</v>
      </c>
      <c r="D43" s="14" t="s">
        <v>108</v>
      </c>
      <c r="E43" s="15" t="s">
        <v>109</v>
      </c>
      <c r="F43" s="14"/>
      <c r="G43" s="16"/>
    </row>
    <row r="44" spans="2:7">
      <c r="B44" s="13"/>
      <c r="C44" s="14"/>
      <c r="D44" s="14" t="s">
        <v>110</v>
      </c>
      <c r="E44" s="15" t="s">
        <v>111</v>
      </c>
      <c r="F44" s="14" t="s">
        <v>112</v>
      </c>
      <c r="G44" s="16"/>
    </row>
    <row r="45" ht="15.75" spans="2:7">
      <c r="B45" s="13"/>
      <c r="C45" s="14"/>
      <c r="D45" s="24" t="s">
        <v>113</v>
      </c>
      <c r="E45" s="25">
        <v>2</v>
      </c>
      <c r="F45" s="14"/>
      <c r="G45" s="16"/>
    </row>
    <row r="46" spans="2:7">
      <c r="B46" s="13"/>
      <c r="C46" s="14"/>
      <c r="D46" s="15" t="s">
        <v>114</v>
      </c>
      <c r="E46" s="15" t="s">
        <v>115</v>
      </c>
      <c r="F46" s="14"/>
      <c r="G46" s="16"/>
    </row>
    <row r="47" ht="15.75" spans="2:7">
      <c r="B47" s="28"/>
      <c r="C47" s="29"/>
      <c r="D47" s="29"/>
      <c r="E47" s="30"/>
      <c r="F47" s="29"/>
      <c r="G47" s="31"/>
    </row>
    <row r="48" spans="2:7">
      <c r="B48" s="9"/>
      <c r="C48" s="10"/>
      <c r="D48" s="11" t="s">
        <v>103</v>
      </c>
      <c r="E48" s="11"/>
      <c r="F48" s="10"/>
      <c r="G48" s="12"/>
    </row>
    <row r="49" ht="15.75" spans="2:7">
      <c r="B49" s="13"/>
      <c r="C49" s="14"/>
      <c r="D49" s="15">
        <f>'W-4'!B27</f>
        <v>972</v>
      </c>
      <c r="E49" s="15"/>
      <c r="F49" s="14"/>
      <c r="G49" s="16"/>
    </row>
    <row r="50" spans="2:7">
      <c r="B50" s="13"/>
      <c r="C50" s="14"/>
      <c r="D50" s="17"/>
      <c r="E50" s="18"/>
      <c r="F50" s="14"/>
      <c r="G50" s="16"/>
    </row>
    <row r="51" ht="18.75" spans="2:7">
      <c r="B51" s="19" t="s">
        <v>88</v>
      </c>
      <c r="C51" s="14"/>
      <c r="D51" s="20"/>
      <c r="E51" s="21"/>
      <c r="F51" s="14"/>
      <c r="G51" s="16"/>
    </row>
    <row r="52" ht="18.75" spans="2:7">
      <c r="B52" s="19"/>
      <c r="C52" s="14"/>
      <c r="D52" s="20"/>
      <c r="E52" s="21"/>
      <c r="F52" s="14"/>
      <c r="G52" s="16"/>
    </row>
    <row r="53" spans="2:7">
      <c r="B53" s="13"/>
      <c r="C53" s="14"/>
      <c r="D53" s="20"/>
      <c r="E53" s="21"/>
      <c r="F53" s="14">
        <f>'W-4'!C27</f>
        <v>794</v>
      </c>
      <c r="G53" s="16"/>
    </row>
    <row r="54" spans="2:7">
      <c r="B54" s="13"/>
      <c r="C54" s="14"/>
      <c r="D54" s="20"/>
      <c r="E54" s="21"/>
      <c r="F54" s="14" t="s">
        <v>105</v>
      </c>
      <c r="G54" s="16"/>
    </row>
    <row r="55" spans="2:7">
      <c r="B55" s="13"/>
      <c r="C55" s="14"/>
      <c r="D55" s="20"/>
      <c r="E55" s="21"/>
      <c r="F55" s="14"/>
      <c r="G55" s="16"/>
    </row>
    <row r="56" ht="15.75" spans="2:7">
      <c r="B56" s="13"/>
      <c r="C56" s="14"/>
      <c r="D56" s="22"/>
      <c r="E56" s="23"/>
      <c r="F56" s="14"/>
      <c r="G56" s="16"/>
    </row>
    <row r="57" spans="2:7">
      <c r="B57" s="13"/>
      <c r="C57" s="14"/>
      <c r="D57" s="14"/>
      <c r="E57" s="15"/>
      <c r="F57" s="14"/>
      <c r="G57" s="16"/>
    </row>
    <row r="58" spans="2:7">
      <c r="B58" s="13" t="s">
        <v>103</v>
      </c>
      <c r="C58" s="15">
        <f>D49</f>
        <v>972</v>
      </c>
      <c r="D58" s="14" t="s">
        <v>106</v>
      </c>
      <c r="E58" s="15" t="s">
        <v>54</v>
      </c>
      <c r="F58" s="14"/>
      <c r="G58" s="16"/>
    </row>
    <row r="59" spans="2:7">
      <c r="B59" s="13" t="s">
        <v>107</v>
      </c>
      <c r="C59" s="15">
        <f>F53</f>
        <v>794</v>
      </c>
      <c r="D59" s="14" t="s">
        <v>108</v>
      </c>
      <c r="E59" s="15" t="s">
        <v>109</v>
      </c>
      <c r="F59" s="14"/>
      <c r="G59" s="16"/>
    </row>
    <row r="60" spans="2:7">
      <c r="B60" s="13"/>
      <c r="C60" s="14"/>
      <c r="D60" s="14" t="s">
        <v>110</v>
      </c>
      <c r="E60" s="15" t="s">
        <v>111</v>
      </c>
      <c r="F60" s="14" t="s">
        <v>112</v>
      </c>
      <c r="G60" s="16"/>
    </row>
    <row r="61" ht="15.75" spans="2:7">
      <c r="B61" s="13"/>
      <c r="C61" s="14"/>
      <c r="D61" s="24" t="s">
        <v>113</v>
      </c>
      <c r="E61" s="25">
        <v>2</v>
      </c>
      <c r="F61" s="14"/>
      <c r="G61" s="16"/>
    </row>
    <row r="62" ht="15.75" spans="2:7">
      <c r="B62" s="26"/>
      <c r="C62" s="14"/>
      <c r="D62" s="15" t="s">
        <v>114</v>
      </c>
      <c r="E62" s="15" t="s">
        <v>115</v>
      </c>
      <c r="F62" s="14"/>
      <c r="G62" s="16"/>
    </row>
    <row r="63" spans="2:7">
      <c r="B63" s="9"/>
      <c r="C63" s="10"/>
      <c r="D63" s="11" t="s">
        <v>103</v>
      </c>
      <c r="E63" s="11"/>
      <c r="F63" s="10"/>
      <c r="G63" s="12"/>
    </row>
    <row r="64" ht="15.75" spans="2:7">
      <c r="B64" s="13"/>
      <c r="C64" s="14"/>
      <c r="D64" s="15">
        <f>'W-5'!B27</f>
        <v>292</v>
      </c>
      <c r="E64" s="15"/>
      <c r="F64" s="14"/>
      <c r="G64" s="16"/>
    </row>
    <row r="65" spans="2:7">
      <c r="B65" s="13"/>
      <c r="C65" s="14"/>
      <c r="D65" s="17"/>
      <c r="E65" s="18"/>
      <c r="F65" s="14"/>
      <c r="G65" s="16"/>
    </row>
    <row r="66" ht="18.75" spans="2:7">
      <c r="B66" s="19"/>
      <c r="C66" s="14"/>
      <c r="D66" s="20"/>
      <c r="E66" s="21"/>
      <c r="F66" s="14"/>
      <c r="G66" s="16"/>
    </row>
    <row r="67" ht="18.75" spans="2:7">
      <c r="B67" s="19" t="s">
        <v>89</v>
      </c>
      <c r="C67" s="14"/>
      <c r="D67" s="20"/>
      <c r="E67" s="21"/>
      <c r="F67" s="14"/>
      <c r="G67" s="16"/>
    </row>
    <row r="68" spans="2:7">
      <c r="B68" s="13"/>
      <c r="C68" s="14"/>
      <c r="D68" s="20"/>
      <c r="E68" s="21"/>
      <c r="F68" s="14">
        <f>'W-5'!C27</f>
        <v>474</v>
      </c>
      <c r="G68" s="16"/>
    </row>
    <row r="69" spans="2:7">
      <c r="B69" s="13"/>
      <c r="C69" s="14"/>
      <c r="D69" s="20"/>
      <c r="E69" s="21"/>
      <c r="F69" s="14" t="s">
        <v>105</v>
      </c>
      <c r="G69" s="16"/>
    </row>
    <row r="70" spans="2:7">
      <c r="B70" s="13"/>
      <c r="C70" s="14"/>
      <c r="D70" s="20"/>
      <c r="E70" s="21"/>
      <c r="F70" s="14"/>
      <c r="G70" s="16"/>
    </row>
    <row r="71" ht="15.75" spans="2:7">
      <c r="B71" s="13"/>
      <c r="C71" s="14"/>
      <c r="D71" s="22"/>
      <c r="E71" s="23"/>
      <c r="F71" s="14"/>
      <c r="G71" s="16"/>
    </row>
    <row r="72" spans="2:7">
      <c r="B72" s="13"/>
      <c r="C72" s="14"/>
      <c r="D72" s="14"/>
      <c r="E72" s="15"/>
      <c r="F72" s="14"/>
      <c r="G72" s="16"/>
    </row>
    <row r="73" spans="2:7">
      <c r="B73" s="13" t="s">
        <v>103</v>
      </c>
      <c r="C73" s="15">
        <f>D64</f>
        <v>292</v>
      </c>
      <c r="D73" s="14" t="s">
        <v>106</v>
      </c>
      <c r="E73" s="15" t="s">
        <v>54</v>
      </c>
      <c r="F73" s="14"/>
      <c r="G73" s="16"/>
    </row>
    <row r="74" spans="2:7">
      <c r="B74" s="13" t="s">
        <v>107</v>
      </c>
      <c r="C74" s="15">
        <f>F68</f>
        <v>474</v>
      </c>
      <c r="D74" s="14" t="s">
        <v>108</v>
      </c>
      <c r="E74" s="15" t="s">
        <v>109</v>
      </c>
      <c r="F74" s="14"/>
      <c r="G74" s="16"/>
    </row>
    <row r="75" spans="2:7">
      <c r="B75" s="13"/>
      <c r="C75" s="14"/>
      <c r="D75" s="14" t="s">
        <v>110</v>
      </c>
      <c r="E75" s="15" t="s">
        <v>111</v>
      </c>
      <c r="F75" s="14" t="s">
        <v>112</v>
      </c>
      <c r="G75" s="16"/>
    </row>
    <row r="76" ht="15.75" spans="2:7">
      <c r="B76" s="13"/>
      <c r="C76" s="14"/>
      <c r="D76" s="24" t="s">
        <v>113</v>
      </c>
      <c r="E76" s="25">
        <v>2</v>
      </c>
      <c r="F76" s="14"/>
      <c r="G76" s="16"/>
    </row>
    <row r="77" ht="15.75" spans="2:7">
      <c r="B77" s="13"/>
      <c r="C77" s="14"/>
      <c r="D77" s="15" t="s">
        <v>114</v>
      </c>
      <c r="E77" s="15" t="s">
        <v>115</v>
      </c>
      <c r="F77" s="14"/>
      <c r="G77" s="16"/>
    </row>
    <row r="78" spans="2:7">
      <c r="B78" s="27"/>
      <c r="C78" s="10"/>
      <c r="D78" s="11"/>
      <c r="E78" s="11"/>
      <c r="F78" s="10"/>
      <c r="G78" s="12"/>
    </row>
    <row r="79" spans="2:7">
      <c r="B79" s="26"/>
      <c r="C79" s="14"/>
      <c r="D79" s="15" t="s">
        <v>103</v>
      </c>
      <c r="E79" s="15"/>
      <c r="F79" s="14"/>
      <c r="G79" s="16"/>
    </row>
    <row r="80" ht="15.75" spans="2:7">
      <c r="B80" s="13"/>
      <c r="C80" s="14"/>
      <c r="D80" s="15">
        <f>'W-6'!B27</f>
        <v>712</v>
      </c>
      <c r="E80" s="15"/>
      <c r="F80" s="14"/>
      <c r="G80" s="16"/>
    </row>
    <row r="81" spans="2:7">
      <c r="B81" s="13"/>
      <c r="C81" s="14"/>
      <c r="D81" s="17"/>
      <c r="E81" s="18"/>
      <c r="F81" s="14"/>
      <c r="G81" s="16"/>
    </row>
    <row r="82" ht="18.75" spans="2:7">
      <c r="B82" s="19"/>
      <c r="C82" s="14"/>
      <c r="D82" s="20"/>
      <c r="E82" s="21"/>
      <c r="F82" s="14"/>
      <c r="G82" s="16"/>
    </row>
    <row r="83" ht="18.75" spans="2:7">
      <c r="B83" s="19" t="s">
        <v>116</v>
      </c>
      <c r="C83" s="14"/>
      <c r="D83" s="20"/>
      <c r="E83" s="21"/>
      <c r="F83" s="14"/>
      <c r="G83" s="16"/>
    </row>
    <row r="84" spans="2:7">
      <c r="B84" s="13"/>
      <c r="C84" s="14"/>
      <c r="D84" s="20"/>
      <c r="E84" s="21"/>
      <c r="F84" s="14">
        <f>'W-6'!C27</f>
        <v>774</v>
      </c>
      <c r="G84" s="16"/>
    </row>
    <row r="85" spans="2:7">
      <c r="B85" s="13"/>
      <c r="C85" s="14"/>
      <c r="D85" s="20"/>
      <c r="E85" s="21"/>
      <c r="F85" s="14" t="s">
        <v>105</v>
      </c>
      <c r="G85" s="16"/>
    </row>
    <row r="86" spans="2:7">
      <c r="B86" s="13"/>
      <c r="C86" s="14"/>
      <c r="D86" s="20"/>
      <c r="E86" s="21"/>
      <c r="F86" s="14"/>
      <c r="G86" s="16"/>
    </row>
    <row r="87" ht="15.75" spans="2:7">
      <c r="B87" s="13"/>
      <c r="C87" s="14"/>
      <c r="D87" s="22"/>
      <c r="E87" s="23"/>
      <c r="F87" s="14"/>
      <c r="G87" s="16"/>
    </row>
    <row r="88" spans="2:7">
      <c r="B88" s="13"/>
      <c r="C88" s="14"/>
      <c r="D88" s="14"/>
      <c r="E88" s="15"/>
      <c r="F88" s="14"/>
      <c r="G88" s="16"/>
    </row>
    <row r="89" spans="2:7">
      <c r="B89" s="13" t="s">
        <v>103</v>
      </c>
      <c r="C89" s="15">
        <f>D80</f>
        <v>712</v>
      </c>
      <c r="D89" s="14" t="s">
        <v>106</v>
      </c>
      <c r="E89" s="15" t="s">
        <v>54</v>
      </c>
      <c r="F89" s="14"/>
      <c r="G89" s="16"/>
    </row>
    <row r="90" spans="2:7">
      <c r="B90" s="13" t="s">
        <v>107</v>
      </c>
      <c r="C90" s="15">
        <f>F84</f>
        <v>774</v>
      </c>
      <c r="D90" s="14" t="s">
        <v>108</v>
      </c>
      <c r="E90" s="15" t="s">
        <v>109</v>
      </c>
      <c r="F90" s="14"/>
      <c r="G90" s="16"/>
    </row>
    <row r="91" spans="2:7">
      <c r="B91" s="13"/>
      <c r="C91" s="14"/>
      <c r="D91" s="14" t="s">
        <v>110</v>
      </c>
      <c r="E91" s="15" t="s">
        <v>111</v>
      </c>
      <c r="F91" s="14" t="s">
        <v>112</v>
      </c>
      <c r="G91" s="16"/>
    </row>
    <row r="92" ht="15.75" spans="2:7">
      <c r="B92" s="13"/>
      <c r="C92" s="14"/>
      <c r="D92" s="24" t="s">
        <v>113</v>
      </c>
      <c r="E92" s="25">
        <v>2</v>
      </c>
      <c r="F92" s="14"/>
      <c r="G92" s="16"/>
    </row>
    <row r="93" spans="2:7">
      <c r="B93" s="13"/>
      <c r="C93" s="14"/>
      <c r="D93" s="15" t="s">
        <v>114</v>
      </c>
      <c r="E93" s="15" t="s">
        <v>115</v>
      </c>
      <c r="F93" s="14"/>
      <c r="G93" s="16"/>
    </row>
    <row r="94" ht="15.75" spans="2:7">
      <c r="B94" s="28"/>
      <c r="C94" s="29"/>
      <c r="D94" s="29"/>
      <c r="E94" s="30"/>
      <c r="F94" s="29"/>
      <c r="G94" s="31"/>
    </row>
    <row r="95" spans="2:7">
      <c r="B95" s="27"/>
      <c r="C95" s="10"/>
      <c r="D95" s="11"/>
      <c r="E95" s="11"/>
      <c r="F95" s="10"/>
      <c r="G95" s="12"/>
    </row>
    <row r="96" spans="2:7">
      <c r="B96" s="26"/>
      <c r="C96" s="14"/>
      <c r="D96" s="15" t="s">
        <v>103</v>
      </c>
      <c r="E96" s="15"/>
      <c r="F96" s="14"/>
      <c r="G96" s="16"/>
    </row>
    <row r="97" ht="15.75" spans="2:7">
      <c r="B97" s="13"/>
      <c r="C97" s="14"/>
      <c r="D97" s="15">
        <f>'W-7'!B27</f>
        <v>312</v>
      </c>
      <c r="E97" s="15"/>
      <c r="F97" s="14"/>
      <c r="G97" s="16"/>
    </row>
    <row r="98" spans="2:7">
      <c r="B98" s="13"/>
      <c r="C98" s="14"/>
      <c r="D98" s="17"/>
      <c r="E98" s="18"/>
      <c r="F98" s="14"/>
      <c r="G98" s="16"/>
    </row>
    <row r="99" ht="18.75" spans="2:7">
      <c r="B99" s="19"/>
      <c r="C99" s="14"/>
      <c r="D99" s="20"/>
      <c r="E99" s="21"/>
      <c r="F99" s="14"/>
      <c r="G99" s="16"/>
    </row>
    <row r="100" ht="18.75" spans="2:7">
      <c r="B100" s="19" t="s">
        <v>117</v>
      </c>
      <c r="C100" s="14"/>
      <c r="D100" s="20"/>
      <c r="E100" s="21"/>
      <c r="F100" s="14"/>
      <c r="G100" s="16"/>
    </row>
    <row r="101" spans="2:7">
      <c r="B101" s="13"/>
      <c r="C101" s="14"/>
      <c r="D101" s="20"/>
      <c r="E101" s="21"/>
      <c r="F101" s="14">
        <f>'W-7'!C27</f>
        <v>774</v>
      </c>
      <c r="G101" s="16"/>
    </row>
    <row r="102" spans="2:7">
      <c r="B102" s="13"/>
      <c r="C102" s="14"/>
      <c r="D102" s="20"/>
      <c r="E102" s="21"/>
      <c r="F102" s="14" t="s">
        <v>105</v>
      </c>
      <c r="G102" s="16"/>
    </row>
    <row r="103" spans="2:7">
      <c r="B103" s="13"/>
      <c r="C103" s="14"/>
      <c r="D103" s="20"/>
      <c r="E103" s="21"/>
      <c r="F103" s="14"/>
      <c r="G103" s="16"/>
    </row>
    <row r="104" ht="15.75" spans="2:7">
      <c r="B104" s="13"/>
      <c r="C104" s="14"/>
      <c r="D104" s="22"/>
      <c r="E104" s="23"/>
      <c r="F104" s="14"/>
      <c r="G104" s="16"/>
    </row>
    <row r="105" spans="2:7">
      <c r="B105" s="13"/>
      <c r="C105" s="14"/>
      <c r="D105" s="14"/>
      <c r="E105" s="15"/>
      <c r="F105" s="14"/>
      <c r="G105" s="16"/>
    </row>
    <row r="106" spans="2:7">
      <c r="B106" s="13" t="s">
        <v>103</v>
      </c>
      <c r="C106" s="15">
        <f>D97</f>
        <v>312</v>
      </c>
      <c r="D106" s="14" t="s">
        <v>106</v>
      </c>
      <c r="E106" s="15" t="s">
        <v>54</v>
      </c>
      <c r="F106" s="14"/>
      <c r="G106" s="16"/>
    </row>
    <row r="107" spans="2:7">
      <c r="B107" s="13" t="s">
        <v>107</v>
      </c>
      <c r="C107" s="15">
        <f>F101</f>
        <v>774</v>
      </c>
      <c r="D107" s="14" t="s">
        <v>108</v>
      </c>
      <c r="E107" s="15" t="s">
        <v>109</v>
      </c>
      <c r="F107" s="14"/>
      <c r="G107" s="16"/>
    </row>
    <row r="108" spans="2:7">
      <c r="B108" s="13"/>
      <c r="C108" s="14"/>
      <c r="D108" s="14" t="s">
        <v>110</v>
      </c>
      <c r="E108" s="15" t="s">
        <v>111</v>
      </c>
      <c r="F108" s="14" t="s">
        <v>112</v>
      </c>
      <c r="G108" s="16"/>
    </row>
    <row r="109" ht="15.75" spans="2:7">
      <c r="B109" s="13"/>
      <c r="C109" s="14"/>
      <c r="D109" s="24" t="s">
        <v>113</v>
      </c>
      <c r="E109" s="25">
        <v>2</v>
      </c>
      <c r="F109" s="14"/>
      <c r="G109" s="16"/>
    </row>
    <row r="110" spans="2:7">
      <c r="B110" s="13"/>
      <c r="C110" s="14"/>
      <c r="D110" s="15" t="s">
        <v>114</v>
      </c>
      <c r="E110" s="15" t="s">
        <v>115</v>
      </c>
      <c r="F110" s="14"/>
      <c r="G110" s="16"/>
    </row>
    <row r="111" ht="15.75" spans="2:7">
      <c r="B111" s="28"/>
      <c r="C111" s="29"/>
      <c r="D111" s="29"/>
      <c r="E111" s="30"/>
      <c r="F111" s="29"/>
      <c r="G111" s="31"/>
    </row>
    <row r="112" spans="2:7">
      <c r="B112" s="9"/>
      <c r="C112" s="10"/>
      <c r="D112" s="11" t="s">
        <v>103</v>
      </c>
      <c r="E112" s="11"/>
      <c r="F112" s="10"/>
      <c r="G112" s="12"/>
    </row>
    <row r="113" ht="15.75" spans="2:7">
      <c r="B113" s="13"/>
      <c r="C113" s="14"/>
      <c r="D113" s="15">
        <f>'W-8'!B27</f>
        <v>312</v>
      </c>
      <c r="E113" s="15"/>
      <c r="F113" s="14"/>
      <c r="G113" s="16"/>
    </row>
    <row r="114" spans="2:7">
      <c r="B114" s="13"/>
      <c r="C114" s="14"/>
      <c r="D114" s="17"/>
      <c r="E114" s="18"/>
      <c r="F114" s="14"/>
      <c r="G114" s="16"/>
    </row>
    <row r="115" ht="18.75" spans="2:7">
      <c r="B115" s="19" t="s">
        <v>118</v>
      </c>
      <c r="C115" s="14"/>
      <c r="D115" s="20"/>
      <c r="E115" s="21"/>
      <c r="F115" s="14"/>
      <c r="G115" s="16"/>
    </row>
    <row r="116" ht="18.75" spans="2:7">
      <c r="B116" s="19"/>
      <c r="C116" s="14"/>
      <c r="D116" s="20"/>
      <c r="E116" s="21"/>
      <c r="F116" s="14"/>
      <c r="G116" s="16"/>
    </row>
    <row r="117" spans="2:7">
      <c r="B117" s="13"/>
      <c r="C117" s="14"/>
      <c r="D117" s="20"/>
      <c r="E117" s="21"/>
      <c r="F117" s="14">
        <f>'W-8'!C27</f>
        <v>774</v>
      </c>
      <c r="G117" s="16"/>
    </row>
    <row r="118" spans="2:7">
      <c r="B118" s="13"/>
      <c r="C118" s="14"/>
      <c r="D118" s="20"/>
      <c r="E118" s="21"/>
      <c r="F118" s="14" t="s">
        <v>105</v>
      </c>
      <c r="G118" s="16"/>
    </row>
    <row r="119" spans="2:7">
      <c r="B119" s="13"/>
      <c r="C119" s="14"/>
      <c r="D119" s="20"/>
      <c r="E119" s="21"/>
      <c r="F119" s="14"/>
      <c r="G119" s="16"/>
    </row>
    <row r="120" ht="15.75" spans="2:7">
      <c r="B120" s="13"/>
      <c r="C120" s="14"/>
      <c r="D120" s="22"/>
      <c r="E120" s="23"/>
      <c r="F120" s="14"/>
      <c r="G120" s="16"/>
    </row>
    <row r="121" spans="2:7">
      <c r="B121" s="13"/>
      <c r="C121" s="14"/>
      <c r="D121" s="14"/>
      <c r="E121" s="15"/>
      <c r="F121" s="14"/>
      <c r="G121" s="16"/>
    </row>
    <row r="122" spans="2:7">
      <c r="B122" s="13" t="s">
        <v>103</v>
      </c>
      <c r="C122" s="15">
        <f>D113</f>
        <v>312</v>
      </c>
      <c r="D122" s="14" t="s">
        <v>106</v>
      </c>
      <c r="E122" s="15" t="s">
        <v>54</v>
      </c>
      <c r="F122" s="14"/>
      <c r="G122" s="16"/>
    </row>
    <row r="123" spans="2:7">
      <c r="B123" s="13" t="s">
        <v>107</v>
      </c>
      <c r="C123" s="15">
        <f>F117</f>
        <v>774</v>
      </c>
      <c r="D123" s="14" t="s">
        <v>108</v>
      </c>
      <c r="E123" s="15" t="s">
        <v>109</v>
      </c>
      <c r="F123" s="14"/>
      <c r="G123" s="16"/>
    </row>
    <row r="124" spans="2:7">
      <c r="B124" s="13"/>
      <c r="C124" s="14"/>
      <c r="D124" s="14" t="s">
        <v>110</v>
      </c>
      <c r="E124" s="15" t="s">
        <v>111</v>
      </c>
      <c r="F124" s="14" t="s">
        <v>112</v>
      </c>
      <c r="G124" s="16"/>
    </row>
    <row r="125" ht="15.75" spans="2:7">
      <c r="B125" s="13"/>
      <c r="C125" s="14"/>
      <c r="D125" s="24" t="s">
        <v>113</v>
      </c>
      <c r="E125" s="25">
        <v>2</v>
      </c>
      <c r="F125" s="14"/>
      <c r="G125" s="16"/>
    </row>
    <row r="126" ht="15.75" spans="2:7">
      <c r="B126" s="26"/>
      <c r="C126" s="14"/>
      <c r="D126" s="15" t="s">
        <v>114</v>
      </c>
      <c r="E126" s="15" t="s">
        <v>115</v>
      </c>
      <c r="F126" s="14"/>
      <c r="G126" s="16"/>
    </row>
    <row r="127" spans="2:7">
      <c r="B127" s="9"/>
      <c r="C127" s="10"/>
      <c r="D127" s="11" t="s">
        <v>103</v>
      </c>
      <c r="E127" s="11"/>
      <c r="F127" s="10"/>
      <c r="G127" s="12"/>
    </row>
    <row r="128" ht="15.75" spans="2:7">
      <c r="B128" s="13"/>
      <c r="C128" s="14"/>
      <c r="D128" s="15">
        <f>'W-9'!B29</f>
        <v>932</v>
      </c>
      <c r="E128" s="15"/>
      <c r="F128" s="14"/>
      <c r="G128" s="16"/>
    </row>
    <row r="129" spans="2:7">
      <c r="B129" s="13"/>
      <c r="C129" s="14"/>
      <c r="D129" s="17"/>
      <c r="E129" s="18"/>
      <c r="F129" s="14"/>
      <c r="G129" s="16"/>
    </row>
    <row r="130" ht="18.75" spans="2:7">
      <c r="B130" s="19"/>
      <c r="C130" s="14"/>
      <c r="D130" s="20"/>
      <c r="E130" s="21"/>
      <c r="F130" s="14"/>
      <c r="G130" s="16"/>
    </row>
    <row r="131" ht="18.75" spans="2:7">
      <c r="B131" s="19" t="s">
        <v>119</v>
      </c>
      <c r="C131" s="14"/>
      <c r="D131" s="20"/>
      <c r="E131" s="21"/>
      <c r="F131" s="14"/>
      <c r="G131" s="16"/>
    </row>
    <row r="132" spans="2:7">
      <c r="B132" s="13"/>
      <c r="C132" s="14"/>
      <c r="D132" s="20"/>
      <c r="E132" s="21"/>
      <c r="F132" s="14">
        <f>'W-9'!C29</f>
        <v>744</v>
      </c>
      <c r="G132" s="16"/>
    </row>
    <row r="133" spans="2:7">
      <c r="B133" s="13"/>
      <c r="C133" s="14"/>
      <c r="D133" s="20"/>
      <c r="E133" s="21"/>
      <c r="F133" s="14" t="s">
        <v>105</v>
      </c>
      <c r="G133" s="16"/>
    </row>
    <row r="134" spans="2:7">
      <c r="B134" s="13"/>
      <c r="C134" s="14"/>
      <c r="D134" s="20"/>
      <c r="E134" s="21"/>
      <c r="F134" s="14"/>
      <c r="G134" s="16"/>
    </row>
    <row r="135" ht="15.75" spans="2:7">
      <c r="B135" s="13"/>
      <c r="C135" s="14"/>
      <c r="D135" s="22"/>
      <c r="E135" s="23"/>
      <c r="F135" s="14"/>
      <c r="G135" s="16"/>
    </row>
    <row r="136" spans="2:7">
      <c r="B136" s="13"/>
      <c r="C136" s="14"/>
      <c r="D136" s="14"/>
      <c r="E136" s="15"/>
      <c r="F136" s="14"/>
      <c r="G136" s="16"/>
    </row>
    <row r="137" spans="2:7">
      <c r="B137" s="13" t="s">
        <v>103</v>
      </c>
      <c r="C137" s="15">
        <f>D128</f>
        <v>932</v>
      </c>
      <c r="D137" s="14" t="s">
        <v>106</v>
      </c>
      <c r="E137" s="15" t="s">
        <v>54</v>
      </c>
      <c r="F137" s="14"/>
      <c r="G137" s="16"/>
    </row>
    <row r="138" spans="2:7">
      <c r="B138" s="13" t="s">
        <v>107</v>
      </c>
      <c r="C138" s="15">
        <f>F132</f>
        <v>744</v>
      </c>
      <c r="D138" s="14" t="s">
        <v>108</v>
      </c>
      <c r="E138" s="15" t="s">
        <v>109</v>
      </c>
      <c r="F138" s="14"/>
      <c r="G138" s="16"/>
    </row>
    <row r="139" spans="2:7">
      <c r="B139" s="13"/>
      <c r="C139" s="14"/>
      <c r="D139" s="14" t="s">
        <v>110</v>
      </c>
      <c r="E139" s="15" t="s">
        <v>111</v>
      </c>
      <c r="F139" s="14" t="s">
        <v>112</v>
      </c>
      <c r="G139" s="16"/>
    </row>
    <row r="140" ht="15.75" spans="2:7">
      <c r="B140" s="13"/>
      <c r="C140" s="14"/>
      <c r="D140" s="24" t="s">
        <v>113</v>
      </c>
      <c r="E140" s="25">
        <v>2</v>
      </c>
      <c r="F140" s="14"/>
      <c r="G140" s="16"/>
    </row>
    <row r="141" ht="15.75" spans="2:7">
      <c r="B141" s="13"/>
      <c r="C141" s="14"/>
      <c r="D141" s="15" t="s">
        <v>114</v>
      </c>
      <c r="E141" s="15" t="s">
        <v>115</v>
      </c>
      <c r="F141" s="14"/>
      <c r="G141" s="16"/>
    </row>
    <row r="142" spans="2:7">
      <c r="B142" s="27"/>
      <c r="C142" s="10"/>
      <c r="D142" s="11"/>
      <c r="E142" s="11"/>
      <c r="F142" s="10"/>
      <c r="G142" s="12"/>
    </row>
    <row r="143" spans="2:7">
      <c r="B143" s="26"/>
      <c r="C143" s="14"/>
      <c r="D143" s="15" t="s">
        <v>103</v>
      </c>
      <c r="E143" s="15"/>
      <c r="F143" s="14"/>
      <c r="G143" s="16"/>
    </row>
    <row r="144" ht="15.75" spans="2:7">
      <c r="B144" s="13"/>
      <c r="C144" s="14"/>
      <c r="D144" s="15">
        <f>'W-10'!B27</f>
        <v>812</v>
      </c>
      <c r="E144" s="15"/>
      <c r="F144" s="14"/>
      <c r="G144" s="16"/>
    </row>
    <row r="145" spans="2:7">
      <c r="B145" s="13"/>
      <c r="C145" s="14"/>
      <c r="D145" s="17"/>
      <c r="E145" s="18"/>
      <c r="F145" s="14"/>
      <c r="G145" s="16"/>
    </row>
    <row r="146" ht="18.75" spans="2:7">
      <c r="B146" s="19"/>
      <c r="C146" s="14"/>
      <c r="D146" s="20"/>
      <c r="E146" s="21"/>
      <c r="F146" s="14"/>
      <c r="G146" s="16"/>
    </row>
    <row r="147" ht="18.75" spans="2:7">
      <c r="B147" s="19" t="s">
        <v>120</v>
      </c>
      <c r="C147" s="14"/>
      <c r="D147" s="20"/>
      <c r="E147" s="21"/>
      <c r="F147" s="14"/>
      <c r="G147" s="16"/>
    </row>
    <row r="148" spans="2:7">
      <c r="B148" s="13"/>
      <c r="C148" s="14"/>
      <c r="D148" s="20"/>
      <c r="E148" s="21"/>
      <c r="F148" s="14">
        <f>'W-10'!C27</f>
        <v>674</v>
      </c>
      <c r="G148" s="16"/>
    </row>
    <row r="149" spans="2:7">
      <c r="B149" s="13"/>
      <c r="C149" s="14"/>
      <c r="D149" s="20"/>
      <c r="E149" s="21"/>
      <c r="F149" s="14" t="s">
        <v>105</v>
      </c>
      <c r="G149" s="16"/>
    </row>
    <row r="150" spans="2:7">
      <c r="B150" s="13"/>
      <c r="C150" s="14"/>
      <c r="D150" s="20"/>
      <c r="E150" s="21"/>
      <c r="F150" s="14"/>
      <c r="G150" s="16"/>
    </row>
    <row r="151" ht="15.75" spans="2:7">
      <c r="B151" s="13"/>
      <c r="C151" s="14"/>
      <c r="D151" s="22"/>
      <c r="E151" s="23"/>
      <c r="F151" s="14"/>
      <c r="G151" s="16"/>
    </row>
    <row r="152" spans="2:7">
      <c r="B152" s="13"/>
      <c r="C152" s="14"/>
      <c r="D152" s="14"/>
      <c r="E152" s="15"/>
      <c r="F152" s="14"/>
      <c r="G152" s="16"/>
    </row>
    <row r="153" spans="2:7">
      <c r="B153" s="13" t="s">
        <v>103</v>
      </c>
      <c r="C153" s="15">
        <f>D144</f>
        <v>812</v>
      </c>
      <c r="D153" s="14" t="s">
        <v>106</v>
      </c>
      <c r="E153" s="15" t="s">
        <v>54</v>
      </c>
      <c r="F153" s="14"/>
      <c r="G153" s="16"/>
    </row>
    <row r="154" spans="2:7">
      <c r="B154" s="13" t="s">
        <v>107</v>
      </c>
      <c r="C154" s="15">
        <f>F148</f>
        <v>674</v>
      </c>
      <c r="D154" s="14" t="s">
        <v>108</v>
      </c>
      <c r="E154" s="15" t="s">
        <v>109</v>
      </c>
      <c r="F154" s="14"/>
      <c r="G154" s="16"/>
    </row>
    <row r="155" spans="2:7">
      <c r="B155" s="13"/>
      <c r="C155" s="14"/>
      <c r="D155" s="14" t="s">
        <v>110</v>
      </c>
      <c r="E155" s="15" t="s">
        <v>111</v>
      </c>
      <c r="F155" s="14" t="s">
        <v>112</v>
      </c>
      <c r="G155" s="16"/>
    </row>
    <row r="156" ht="15.75" spans="2:7">
      <c r="B156" s="13"/>
      <c r="C156" s="14"/>
      <c r="D156" s="24" t="s">
        <v>113</v>
      </c>
      <c r="E156" s="25">
        <v>2</v>
      </c>
      <c r="F156" s="14"/>
      <c r="G156" s="16"/>
    </row>
    <row r="157" spans="2:7">
      <c r="B157" s="13"/>
      <c r="C157" s="14"/>
      <c r="D157" s="15" t="s">
        <v>114</v>
      </c>
      <c r="E157" s="15" t="s">
        <v>115</v>
      </c>
      <c r="F157" s="14"/>
      <c r="G157" s="16"/>
    </row>
    <row r="158" ht="15.75" spans="2:7">
      <c r="B158" s="28"/>
      <c r="C158" s="29"/>
      <c r="D158" s="29"/>
      <c r="E158" s="30"/>
      <c r="F158" s="29"/>
      <c r="G158" s="31"/>
    </row>
  </sheetData>
  <mergeCells count="30">
    <mergeCell ref="D1:E1"/>
    <mergeCell ref="D2:E2"/>
    <mergeCell ref="D16:E16"/>
    <mergeCell ref="D17:E17"/>
    <mergeCell ref="D32:E32"/>
    <mergeCell ref="D33:E33"/>
    <mergeCell ref="D48:E48"/>
    <mergeCell ref="D49:E49"/>
    <mergeCell ref="D63:E63"/>
    <mergeCell ref="D64:E64"/>
    <mergeCell ref="D79:E79"/>
    <mergeCell ref="D80:E80"/>
    <mergeCell ref="D96:E96"/>
    <mergeCell ref="D97:E97"/>
    <mergeCell ref="D112:E112"/>
    <mergeCell ref="D113:E113"/>
    <mergeCell ref="D127:E127"/>
    <mergeCell ref="D128:E128"/>
    <mergeCell ref="D143:E143"/>
    <mergeCell ref="D144:E144"/>
    <mergeCell ref="D3:E9"/>
    <mergeCell ref="D18:E24"/>
    <mergeCell ref="D34:E40"/>
    <mergeCell ref="D50:E56"/>
    <mergeCell ref="D65:E71"/>
    <mergeCell ref="D81:E87"/>
    <mergeCell ref="D98:E104"/>
    <mergeCell ref="D114:E120"/>
    <mergeCell ref="D129:E135"/>
    <mergeCell ref="D145:E151"/>
  </mergeCells>
  <pageMargins left="0.25" right="0.25" top="0.75" bottom="0.75" header="0.298611111111111" footer="0.298611111111111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29"/>
  <sheetViews>
    <sheetView topLeftCell="A4" workbookViewId="0">
      <selection activeCell="O10" sqref="O10"/>
    </sheetView>
  </sheetViews>
  <sheetFormatPr defaultColWidth="9.14285714285714" defaultRowHeight="15"/>
  <cols>
    <col min="1" max="1" width="11.8571428571429" style="1" customWidth="1"/>
    <col min="2" max="2" width="31" style="1" customWidth="1"/>
    <col min="3" max="3" width="13.2857142857143" style="1" customWidth="1"/>
    <col min="4" max="4" width="11.7142857142857" style="1" hidden="1" customWidth="1"/>
    <col min="5" max="5" width="13" style="1" hidden="1" customWidth="1"/>
    <col min="6" max="6" width="13.1428571428571" style="1" hidden="1" customWidth="1"/>
    <col min="7" max="7" width="12" style="1" hidden="1" customWidth="1"/>
    <col min="8" max="8" width="12.7142857142857" style="1" hidden="1" customWidth="1"/>
    <col min="9" max="9" width="12" style="1" hidden="1" customWidth="1"/>
    <col min="10" max="11" width="13.4285714285714" style="1" hidden="1" customWidth="1"/>
    <col min="12" max="12" width="12.5714285714286" style="1" hidden="1" customWidth="1"/>
    <col min="13" max="13" width="13.4285714285714" style="1" customWidth="1"/>
    <col min="14" max="16384" width="9.14285714285714" style="1"/>
  </cols>
  <sheetData>
    <row r="5" ht="30" spans="3:13">
      <c r="C5" s="2" t="str">
        <f>'W-1'!A4</f>
        <v>GL01- CH/B</v>
      </c>
      <c r="D5" s="2" t="str">
        <f>'W-2'!A4</f>
        <v>GL02-JAM</v>
      </c>
      <c r="E5" s="2" t="str">
        <f>'W-3'!A4</f>
        <v>GL03-JAM</v>
      </c>
      <c r="F5" s="2" t="str">
        <f>'W-4'!A4</f>
        <v>GL04-JAM</v>
      </c>
      <c r="G5" s="2" t="str">
        <f>'W-5'!A4</f>
        <v>GL05-JAM</v>
      </c>
      <c r="H5" s="2" t="str">
        <f>'W-6'!A4</f>
        <v>GL06-JAM-B</v>
      </c>
      <c r="I5" s="2" t="str">
        <f>'W-7'!A4</f>
        <v>GL07-JAM-B</v>
      </c>
      <c r="J5" s="2" t="s">
        <v>121</v>
      </c>
      <c r="K5" s="2" t="str">
        <f>'W-9'!A4</f>
        <v>GL01-Kilv</v>
      </c>
      <c r="L5" s="2" t="str">
        <f>'W-10'!A4</f>
        <v>GL02-KILV</v>
      </c>
      <c r="M5" s="6" t="s">
        <v>5</v>
      </c>
    </row>
    <row r="6" spans="1:13">
      <c r="A6" s="1" t="s">
        <v>122</v>
      </c>
      <c r="B6" s="1" t="s">
        <v>123</v>
      </c>
      <c r="C6" s="1">
        <f>'W-1'!I9</f>
        <v>920</v>
      </c>
      <c r="D6" s="1">
        <f>'W-2'!I9</f>
        <v>1070</v>
      </c>
      <c r="E6" s="1">
        <f>'W-3'!I9</f>
        <v>1050</v>
      </c>
      <c r="F6" s="1">
        <f>'W-4'!I9</f>
        <v>1240</v>
      </c>
      <c r="H6" s="1">
        <f>'W-6'!I9</f>
        <v>980</v>
      </c>
      <c r="I6" s="1">
        <f>'W-7'!I9</f>
        <v>580</v>
      </c>
      <c r="J6" s="1">
        <f>'W-8'!I9</f>
        <v>580</v>
      </c>
      <c r="K6" s="1">
        <f>'W-9'!I9</f>
        <v>1200</v>
      </c>
      <c r="L6" s="1">
        <f>'W-10'!I9</f>
        <v>1080</v>
      </c>
      <c r="M6" s="1" t="s">
        <v>124</v>
      </c>
    </row>
    <row r="7" spans="1:12">
      <c r="A7" s="1" t="s">
        <v>122</v>
      </c>
      <c r="B7" s="1" t="s">
        <v>125</v>
      </c>
      <c r="C7" s="1">
        <f>'W-1'!I10</f>
        <v>834</v>
      </c>
      <c r="D7" s="1">
        <f>'W-2'!I10</f>
        <v>1619</v>
      </c>
      <c r="E7" s="1">
        <f>'W-3'!I10</f>
        <v>1589</v>
      </c>
      <c r="F7" s="1">
        <f>'W-4'!I10</f>
        <v>1759</v>
      </c>
      <c r="H7" s="1">
        <f>'W-6'!I10</f>
        <v>1719</v>
      </c>
      <c r="I7" s="1">
        <f>'W-7'!I10</f>
        <v>1719</v>
      </c>
      <c r="J7" s="1">
        <f>'W-8'!I10</f>
        <v>1719</v>
      </c>
      <c r="K7" s="1">
        <f>'W-9'!I10</f>
        <v>1659</v>
      </c>
      <c r="L7" s="1">
        <f>'W-10'!I10</f>
        <v>1519</v>
      </c>
    </row>
    <row r="8" spans="1:12">
      <c r="A8" s="1" t="s">
        <v>122</v>
      </c>
      <c r="B8" s="1" t="s">
        <v>126</v>
      </c>
      <c r="C8" s="1">
        <f>'W-1'!I10</f>
        <v>834</v>
      </c>
      <c r="D8" s="1">
        <f>'W-2'!I10</f>
        <v>1619</v>
      </c>
      <c r="E8" s="1">
        <f>'W-3'!I10</f>
        <v>1589</v>
      </c>
      <c r="F8" s="1">
        <f>'W-4'!I10</f>
        <v>1759</v>
      </c>
      <c r="H8" s="1">
        <f>'W-6'!I10</f>
        <v>1719</v>
      </c>
      <c r="I8" s="1">
        <f>'W-7'!I10</f>
        <v>1719</v>
      </c>
      <c r="J8" s="1">
        <f>'W-8'!I10</f>
        <v>1719</v>
      </c>
      <c r="K8" s="1">
        <f>'W-9'!I10</f>
        <v>1659</v>
      </c>
      <c r="L8" s="1">
        <f>'W-10'!I10</f>
        <v>1519</v>
      </c>
    </row>
    <row r="9" spans="1:13">
      <c r="A9" s="1" t="s">
        <v>127</v>
      </c>
      <c r="B9" s="1" t="s">
        <v>128</v>
      </c>
      <c r="C9" s="1">
        <f>'W-1'!I11</f>
        <v>920</v>
      </c>
      <c r="D9" s="1">
        <f>'W-2'!I11</f>
        <v>1070</v>
      </c>
      <c r="E9" s="1">
        <f>'W-3'!I11</f>
        <v>1050</v>
      </c>
      <c r="F9" s="1">
        <f>'W-4'!I11</f>
        <v>1240</v>
      </c>
      <c r="H9" s="1">
        <f>'W-6'!I11</f>
        <v>980</v>
      </c>
      <c r="I9" s="1">
        <f>'W-7'!I11</f>
        <v>580</v>
      </c>
      <c r="J9" s="1">
        <f>'W-8'!I11</f>
        <v>580</v>
      </c>
      <c r="K9" s="1">
        <f>'W-9'!I11</f>
        <v>1200</v>
      </c>
      <c r="L9" s="1">
        <f>'W-10'!I11</f>
        <v>1080</v>
      </c>
      <c r="M9" s="1" t="s">
        <v>129</v>
      </c>
    </row>
    <row r="10" spans="1:13">
      <c r="A10" s="1" t="s">
        <v>82</v>
      </c>
      <c r="B10" s="1" t="s">
        <v>130</v>
      </c>
      <c r="C10" s="1">
        <f>'W-1'!I11</f>
        <v>920</v>
      </c>
      <c r="D10" s="1">
        <f>'W-2'!I11</f>
        <v>1070</v>
      </c>
      <c r="E10" s="1">
        <f>'W-3'!I11</f>
        <v>1050</v>
      </c>
      <c r="F10" s="1">
        <f>'W-4'!I11</f>
        <v>1240</v>
      </c>
      <c r="H10" s="1">
        <f>'W-6'!I11</f>
        <v>980</v>
      </c>
      <c r="I10" s="1">
        <f>'W-7'!I11</f>
        <v>580</v>
      </c>
      <c r="J10" s="1">
        <f>'W-8'!I11</f>
        <v>580</v>
      </c>
      <c r="K10" s="1">
        <f>'W-9'!I11</f>
        <v>1200</v>
      </c>
      <c r="L10" s="1">
        <f>'W-10'!I11</f>
        <v>1080</v>
      </c>
      <c r="M10" s="1" t="s">
        <v>129</v>
      </c>
    </row>
    <row r="11" spans="1:12">
      <c r="A11" s="1" t="s">
        <v>131</v>
      </c>
      <c r="B11" s="1" t="s">
        <v>132</v>
      </c>
      <c r="C11" s="1">
        <f>'W-1'!I13</f>
        <v>750</v>
      </c>
      <c r="D11" s="1">
        <f>'W-2'!I13</f>
        <v>900</v>
      </c>
      <c r="E11" s="1">
        <f>'W-3'!I13</f>
        <v>880</v>
      </c>
      <c r="F11" s="1">
        <f>'W-4'!I13</f>
        <v>1070</v>
      </c>
      <c r="H11" s="1">
        <f>'W-6'!I13</f>
        <v>810</v>
      </c>
      <c r="I11" s="1">
        <f>'W-7'!I13</f>
        <v>410</v>
      </c>
      <c r="J11" s="1">
        <f>'W-8'!I13</f>
        <v>410</v>
      </c>
      <c r="K11" s="1">
        <f>'W-9'!I13</f>
        <v>1030</v>
      </c>
      <c r="L11" s="1">
        <f>'W-10'!I13</f>
        <v>910</v>
      </c>
    </row>
    <row r="12" spans="1:12">
      <c r="A12" s="1" t="s">
        <v>133</v>
      </c>
      <c r="B12" s="1" t="s">
        <v>134</v>
      </c>
      <c r="C12" s="1">
        <f>'W-1'!I12</f>
        <v>716</v>
      </c>
      <c r="D12" s="1">
        <f>'W-2'!I12</f>
        <v>866</v>
      </c>
      <c r="E12" s="1">
        <f>'W-3'!I12</f>
        <v>846</v>
      </c>
      <c r="F12" s="1">
        <f>'W-4'!I12</f>
        <v>1036</v>
      </c>
      <c r="H12" s="1">
        <f>'W-6'!I12</f>
        <v>776</v>
      </c>
      <c r="I12" s="1">
        <f>'W-7'!I12</f>
        <v>376</v>
      </c>
      <c r="J12" s="1">
        <f>'W-8'!I12</f>
        <v>376</v>
      </c>
      <c r="K12" s="1">
        <f>'W-9'!I12</f>
        <v>996</v>
      </c>
      <c r="L12" s="1">
        <f>'W-10'!I12</f>
        <v>876</v>
      </c>
    </row>
    <row r="13" spans="1:12">
      <c r="A13" s="1" t="s">
        <v>135</v>
      </c>
      <c r="B13" s="1" t="s">
        <v>136</v>
      </c>
      <c r="C13" s="1">
        <f>'W-1'!I14</f>
        <v>940</v>
      </c>
      <c r="D13" s="1">
        <f>'W-2'!I14</f>
        <v>1725</v>
      </c>
      <c r="E13" s="1">
        <f>'W-3'!I14</f>
        <v>1695</v>
      </c>
      <c r="F13" s="1">
        <f>'W-4'!I14</f>
        <v>1865</v>
      </c>
      <c r="H13" s="1">
        <f>'W-6'!I14</f>
        <v>1825</v>
      </c>
      <c r="I13" s="1">
        <f>'W-7'!I14</f>
        <v>1825</v>
      </c>
      <c r="J13" s="1">
        <f>'W-8'!I14</f>
        <v>1825</v>
      </c>
      <c r="K13" s="1">
        <f>'W-9'!I14</f>
        <v>1765</v>
      </c>
      <c r="L13" s="1">
        <f>'W-10'!I14</f>
        <v>1625</v>
      </c>
    </row>
    <row r="14" spans="1:12">
      <c r="A14" s="1" t="s">
        <v>131</v>
      </c>
      <c r="B14" s="1" t="s">
        <v>137</v>
      </c>
      <c r="C14" s="1">
        <f>'W-1'!I14</f>
        <v>940</v>
      </c>
      <c r="D14" s="1">
        <f>'W-2'!I14</f>
        <v>1725</v>
      </c>
      <c r="E14" s="1">
        <f>'W-3'!I14</f>
        <v>1695</v>
      </c>
      <c r="F14" s="1">
        <f>'W-4'!I14</f>
        <v>1865</v>
      </c>
      <c r="H14" s="1">
        <f>'W-6'!I14</f>
        <v>1825</v>
      </c>
      <c r="I14" s="1">
        <f>'W-7'!I14</f>
        <v>1825</v>
      </c>
      <c r="J14" s="1">
        <f>'W-8'!I14</f>
        <v>1825</v>
      </c>
      <c r="K14" s="1">
        <f>'W-9'!I14</f>
        <v>1765</v>
      </c>
      <c r="L14" s="1">
        <f>'W-10'!I14</f>
        <v>1625</v>
      </c>
    </row>
    <row r="15" spans="1:12">
      <c r="A15" s="1" t="s">
        <v>138</v>
      </c>
      <c r="B15" s="1" t="s">
        <v>139</v>
      </c>
      <c r="C15" s="1">
        <f>'W-1'!I15</f>
        <v>940</v>
      </c>
      <c r="D15" s="1">
        <f>'W-2'!I15</f>
        <v>1725</v>
      </c>
      <c r="E15" s="1">
        <f>'W-3'!I15</f>
        <v>1695</v>
      </c>
      <c r="F15" s="1">
        <f>'W-4'!I15</f>
        <v>1865</v>
      </c>
      <c r="H15" s="1">
        <f>'W-6'!I15</f>
        <v>1825</v>
      </c>
      <c r="I15" s="1">
        <f>'W-7'!I15</f>
        <v>1825</v>
      </c>
      <c r="J15" s="1">
        <f>'W-8'!I15</f>
        <v>1825</v>
      </c>
      <c r="K15" s="1">
        <f>'W-9'!I15</f>
        <v>1765</v>
      </c>
      <c r="L15" s="1">
        <f>'W-10'!I15</f>
        <v>1625</v>
      </c>
    </row>
    <row r="16" spans="1:12">
      <c r="A16" s="1" t="s">
        <v>138</v>
      </c>
      <c r="B16" s="1" t="s">
        <v>140</v>
      </c>
      <c r="C16" s="1">
        <f>'W-1'!I15</f>
        <v>940</v>
      </c>
      <c r="D16" s="1">
        <f>'W-2'!I15</f>
        <v>1725</v>
      </c>
      <c r="E16" s="1">
        <f>'W-3'!I15</f>
        <v>1695</v>
      </c>
      <c r="F16" s="1">
        <f>'W-4'!I15</f>
        <v>1865</v>
      </c>
      <c r="H16" s="1">
        <f>'W-6'!I15</f>
        <v>1825</v>
      </c>
      <c r="I16" s="1">
        <f>'W-7'!I15</f>
        <v>1825</v>
      </c>
      <c r="J16" s="1">
        <f>'W-8'!I15</f>
        <v>1825</v>
      </c>
      <c r="K16" s="1">
        <f>'W-9'!I15</f>
        <v>1765</v>
      </c>
      <c r="L16" s="1">
        <f>'W-10'!I15</f>
        <v>1625</v>
      </c>
    </row>
    <row r="21" ht="30" spans="1:13">
      <c r="A21" s="3" t="s">
        <v>141</v>
      </c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7" t="s">
        <v>142</v>
      </c>
    </row>
    <row r="22" spans="1:13">
      <c r="A22" s="1" t="s">
        <v>143</v>
      </c>
      <c r="B22" s="1" t="s">
        <v>144</v>
      </c>
      <c r="C22" s="1">
        <f>'W-1'!I17</f>
        <v>742</v>
      </c>
      <c r="D22" s="1">
        <f>'W-2'!I17</f>
        <v>892</v>
      </c>
      <c r="E22" s="1">
        <f>'W-3'!I17</f>
        <v>872</v>
      </c>
      <c r="F22" s="1">
        <f>'W-4'!I17</f>
        <v>1062</v>
      </c>
      <c r="H22" s="1">
        <f>'W-6'!I17</f>
        <v>802</v>
      </c>
      <c r="I22" s="1">
        <f>'W-7'!I17</f>
        <v>402</v>
      </c>
      <c r="J22" s="1">
        <f>'W-8'!I17</f>
        <v>402</v>
      </c>
      <c r="K22" s="1">
        <f>'W-9'!I17</f>
        <v>1022</v>
      </c>
      <c r="L22" s="1">
        <f>'W-10'!I17</f>
        <v>902</v>
      </c>
      <c r="M22" s="1" t="s">
        <v>145</v>
      </c>
    </row>
    <row r="23" spans="1:12">
      <c r="A23" s="1" t="s">
        <v>143</v>
      </c>
      <c r="B23" s="1" t="s">
        <v>146</v>
      </c>
      <c r="C23" s="1">
        <f>'W-1'!I18</f>
        <v>477.5</v>
      </c>
      <c r="D23" s="1">
        <f>'W-2'!I18</f>
        <v>870</v>
      </c>
      <c r="E23" s="1">
        <f>'W-3'!I18</f>
        <v>855</v>
      </c>
      <c r="F23" s="1">
        <f>'W-4'!I18</f>
        <v>940</v>
      </c>
      <c r="H23" s="1">
        <f>'W-6'!I18</f>
        <v>920</v>
      </c>
      <c r="I23" s="1">
        <f>'W-7'!I18</f>
        <v>920</v>
      </c>
      <c r="J23" s="1">
        <f>'W-8'!I18</f>
        <v>920</v>
      </c>
      <c r="K23" s="1">
        <f>'W-9'!I18</f>
        <v>890</v>
      </c>
      <c r="L23" s="1">
        <f>'W-10'!I18</f>
        <v>820</v>
      </c>
    </row>
    <row r="24" spans="1:12">
      <c r="A24" s="1" t="s">
        <v>143</v>
      </c>
      <c r="B24" s="1" t="s">
        <v>147</v>
      </c>
      <c r="C24" s="1">
        <f>'W-1'!I18</f>
        <v>477.5</v>
      </c>
      <c r="D24" s="1">
        <f>'W-2'!I18</f>
        <v>870</v>
      </c>
      <c r="E24" s="1">
        <f>'W-3'!I18</f>
        <v>855</v>
      </c>
      <c r="F24" s="1">
        <f>'W-4'!I18</f>
        <v>940</v>
      </c>
      <c r="H24" s="1">
        <f>'W-6'!I18</f>
        <v>920</v>
      </c>
      <c r="I24" s="1">
        <f>'W-7'!I18</f>
        <v>920</v>
      </c>
      <c r="J24" s="1">
        <f>'W-8'!I18</f>
        <v>920</v>
      </c>
      <c r="K24" s="1">
        <f>'W-9'!I18</f>
        <v>890</v>
      </c>
      <c r="L24" s="1">
        <f>'W-10'!I18</f>
        <v>820</v>
      </c>
    </row>
    <row r="25" spans="1:12">
      <c r="A25" s="1" t="s">
        <v>143</v>
      </c>
      <c r="B25" s="1" t="s">
        <v>148</v>
      </c>
      <c r="C25" s="1">
        <f>'W-1'!I19</f>
        <v>440.5</v>
      </c>
      <c r="D25" s="1">
        <f>'W-2'!I19</f>
        <v>833</v>
      </c>
      <c r="E25" s="1">
        <f>'W-3'!I19</f>
        <v>818</v>
      </c>
      <c r="F25" s="1">
        <f>'W-4'!I19</f>
        <v>903</v>
      </c>
      <c r="H25" s="1">
        <f>'W-6'!I19</f>
        <v>883</v>
      </c>
      <c r="I25" s="1">
        <f>'W-7'!I19</f>
        <v>883</v>
      </c>
      <c r="J25" s="1">
        <f>'W-8'!I19</f>
        <v>883</v>
      </c>
      <c r="K25" s="1">
        <f>'W-9'!I19</f>
        <v>853</v>
      </c>
      <c r="L25" s="1">
        <f>'W-10'!I19</f>
        <v>783</v>
      </c>
    </row>
    <row r="26" spans="1:12">
      <c r="A26" s="1" t="s">
        <v>143</v>
      </c>
      <c r="B26" s="1" t="s">
        <v>149</v>
      </c>
      <c r="C26" s="1">
        <f>'W-1'!I19</f>
        <v>440.5</v>
      </c>
      <c r="D26" s="1">
        <f>'W-2'!I19</f>
        <v>833</v>
      </c>
      <c r="E26" s="1">
        <f>'W-3'!I19</f>
        <v>818</v>
      </c>
      <c r="F26" s="1">
        <f>'W-4'!I19</f>
        <v>903</v>
      </c>
      <c r="H26" s="1">
        <f>'W-6'!I19</f>
        <v>883</v>
      </c>
      <c r="I26" s="1">
        <f>'W-7'!I19</f>
        <v>883</v>
      </c>
      <c r="J26" s="1">
        <f>'W-8'!I19</f>
        <v>883</v>
      </c>
      <c r="K26" s="1">
        <f>'W-9'!I19</f>
        <v>853</v>
      </c>
      <c r="L26" s="1">
        <f>'W-10'!I19</f>
        <v>783</v>
      </c>
    </row>
    <row r="27" spans="1:13">
      <c r="A27" s="1" t="s">
        <v>150</v>
      </c>
      <c r="B27" s="1" t="s">
        <v>151</v>
      </c>
      <c r="C27" s="1">
        <f>'W-1'!I20</f>
        <v>742</v>
      </c>
      <c r="D27" s="1">
        <f>'W-2'!I20</f>
        <v>892</v>
      </c>
      <c r="E27" s="1">
        <f>'W-3'!I20</f>
        <v>872</v>
      </c>
      <c r="F27" s="1">
        <f>'W-4'!I20</f>
        <v>1062</v>
      </c>
      <c r="H27" s="1">
        <f>'W-6'!I20</f>
        <v>802</v>
      </c>
      <c r="I27" s="1">
        <f>'W-7'!I20</f>
        <v>402</v>
      </c>
      <c r="J27" s="1">
        <f>'W-8'!I20</f>
        <v>402</v>
      </c>
      <c r="K27" s="1">
        <f>'W-9'!I20</f>
        <v>1022</v>
      </c>
      <c r="L27" s="1">
        <f>'W-10'!I20</f>
        <v>902</v>
      </c>
      <c r="M27" s="1" t="s">
        <v>145</v>
      </c>
    </row>
    <row r="28" spans="1:13">
      <c r="A28" s="1" t="s">
        <v>152</v>
      </c>
      <c r="B28" s="1" t="s">
        <v>45</v>
      </c>
      <c r="C28" s="1">
        <f>'W-1'!I21</f>
        <v>742</v>
      </c>
      <c r="D28" s="1">
        <f>'W-2'!I21</f>
        <v>892</v>
      </c>
      <c r="E28" s="1">
        <f>'W-3'!I21</f>
        <v>872</v>
      </c>
      <c r="F28" s="1">
        <f>'W-4'!I21</f>
        <v>1062</v>
      </c>
      <c r="H28" s="1">
        <f>'W-6'!I21</f>
        <v>802</v>
      </c>
      <c r="I28" s="1">
        <f>'W-7'!I21</f>
        <v>402</v>
      </c>
      <c r="J28" s="1">
        <f>'W-8'!I21</f>
        <v>402</v>
      </c>
      <c r="K28" s="1">
        <f>'W-9'!I21</f>
        <v>1022</v>
      </c>
      <c r="L28" s="1">
        <f>'W-10'!I21</f>
        <v>902</v>
      </c>
      <c r="M28" s="1" t="s">
        <v>145</v>
      </c>
    </row>
    <row r="29" spans="1:13">
      <c r="A29" s="1" t="s">
        <v>152</v>
      </c>
      <c r="B29" s="1" t="s">
        <v>153</v>
      </c>
      <c r="C29" s="1">
        <f>'W-1'!I22</f>
        <v>742</v>
      </c>
      <c r="D29" s="1">
        <f>'W-2'!I22</f>
        <v>892</v>
      </c>
      <c r="E29" s="1">
        <f>'W-3'!I22</f>
        <v>872</v>
      </c>
      <c r="F29" s="1">
        <f>'W-4'!I22</f>
        <v>1062</v>
      </c>
      <c r="H29" s="1">
        <f>'W-6'!I22</f>
        <v>802</v>
      </c>
      <c r="I29" s="1">
        <f>'W-7'!I22</f>
        <v>402</v>
      </c>
      <c r="J29" s="1">
        <f>'W-8'!I22</f>
        <v>402</v>
      </c>
      <c r="K29" s="1">
        <f>'W-9'!I22</f>
        <v>1022</v>
      </c>
      <c r="L29" s="1">
        <f>'W-10'!I22</f>
        <v>902</v>
      </c>
      <c r="M29" s="1" t="s">
        <v>145</v>
      </c>
    </row>
  </sheetData>
  <mergeCells count="1">
    <mergeCell ref="A21:B21"/>
  </mergeCells>
  <pageMargins left="0.75" right="0.75" top="1" bottom="1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W-1</vt:lpstr>
      <vt:lpstr>W-2</vt:lpstr>
      <vt:lpstr>W-3</vt:lpstr>
      <vt:lpstr>W-4</vt:lpstr>
      <vt:lpstr>W-5</vt:lpstr>
      <vt:lpstr>W-6</vt:lpstr>
      <vt:lpstr>W-7</vt:lpstr>
      <vt:lpstr>W-8</vt:lpstr>
      <vt:lpstr>W-9</vt:lpstr>
      <vt:lpstr>W-10</vt:lpstr>
      <vt:lpstr>Timber Summary </vt:lpstr>
      <vt:lpstr>Glazing summary </vt:lpstr>
      <vt:lpstr>Cutting list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Puc</dc:creator>
  <cp:lastModifiedBy>iza1978</cp:lastModifiedBy>
  <dcterms:created xsi:type="dcterms:W3CDTF">2025-09-16T09:11:00Z</dcterms:created>
  <dcterms:modified xsi:type="dcterms:W3CDTF">2025-11-07T18:04:07Z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8F1477D3375648AEB631A172C3A4A007_11</vt:lpwstr>
  </property>
  <property fmtid="{D5CDD505-2E9C-101B-9397-08002B2CF9AE}" pid="3" name="KSOProductBuildVer">
    <vt:lpwstr>1033-12.2.0.23131</vt:lpwstr>
  </property>
</Properties>
</file>